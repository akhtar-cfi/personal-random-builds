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Level Bifurcation" sheetId="1" state="visible" r:id="rId1"/>
    <sheet xmlns:r="http://schemas.openxmlformats.org/officeDocument/2006/relationships" name="By Vertical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0.0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C1C"/>
      <sz val="9"/>
    </font>
    <font>
      <name val="Calibri"/>
      <color rgb="00777589"/>
      <sz val="8"/>
    </font>
    <font>
      <name val="Calibri"/>
      <b val="1"/>
      <sz val="10"/>
    </font>
    <font>
      <b val="1"/>
    </font>
    <font>
      <name val="Calibri"/>
      <b val="1"/>
      <color rgb="00FFFFFF"/>
      <sz val="12"/>
    </font>
    <font>
      <name val="Calibri"/>
      <b val="1"/>
      <color rgb="001A1C1C"/>
      <sz val="11"/>
    </font>
    <font>
      <name val="Calibri"/>
      <b val="1"/>
      <color rgb="004A35FF"/>
      <sz val="11"/>
    </font>
    <font>
      <name val="Calibri"/>
      <b val="1"/>
      <color rgb="004A35FF"/>
      <sz val="10.5"/>
    </font>
    <font>
      <name val="Calibri"/>
      <b val="1"/>
      <color rgb="001A1C1C"/>
      <sz val="10"/>
    </font>
    <font>
      <name val="Calibri"/>
      <b val="1"/>
      <color rgb="004A35FF"/>
      <sz val="10"/>
    </font>
    <font>
      <name val="Calibri"/>
      <color rgb="00777589"/>
      <sz val="9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4A35FF"/>
      </patternFill>
    </fill>
    <fill>
      <patternFill patternType="solid">
        <fgColor rgb="001A1C1C"/>
      </patternFill>
    </fill>
    <fill>
      <patternFill patternType="solid">
        <fgColor rgb="00FAFAFB"/>
      </patternFill>
    </fill>
    <fill>
      <patternFill patternType="solid">
        <fgColor rgb="00FFFFFF"/>
      </patternFill>
    </fill>
    <fill>
      <patternFill patternType="solid">
        <fgColor rgb="00EDEEF2"/>
      </patternFill>
    </fill>
    <fill>
      <patternFill patternType="solid">
        <fgColor rgb="00E9E6FF"/>
      </patternFill>
    </fill>
    <fill>
      <patternFill patternType="solid">
        <fgColor rgb="00F3F1FF"/>
      </patternFill>
    </fill>
  </fills>
  <borders count="2">
    <border>
      <left/>
      <right/>
      <top/>
      <bottom/>
      <diagonal/>
    </border>
    <border>
      <left style="thin">
        <color rgb="00E2E3EC"/>
      </left>
      <right style="thin">
        <color rgb="00E2E3EC"/>
      </right>
      <top style="thin">
        <color rgb="00E2E3EC"/>
      </top>
      <bottom style="thin">
        <color rgb="00E2E3E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6" fontId="9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right" vertical="center"/>
    </xf>
    <xf numFmtId="165" fontId="10" fillId="8" borderId="1" applyAlignment="1" pivotButton="0" quotePrefix="0" xfId="0">
      <alignment horizontal="right" vertical="center"/>
    </xf>
    <xf numFmtId="166" fontId="10" fillId="8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6" fontId="12" fillId="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 indent="2"/>
    </xf>
    <xf numFmtId="0" fontId="4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13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/>
    </xf>
    <xf numFmtId="165" fontId="0" fillId="5" borderId="1" applyAlignment="1" pivotButton="0" quotePrefix="0" xfId="0">
      <alignment horizontal="right"/>
    </xf>
    <xf numFmtId="166" fontId="0" fillId="5" borderId="1" applyAlignment="1" pivotButton="0" quotePrefix="0" xfId="0">
      <alignment horizontal="right"/>
    </xf>
    <xf numFmtId="0" fontId="14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6" fillId="6" borderId="1" pivotButton="0" quotePrefix="0" xfId="0"/>
    <xf numFmtId="164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5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I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5" customWidth="1" min="3" max="3"/>
    <col width="9" customWidth="1" min="4" max="4"/>
    <col width="10" customWidth="1" min="5" max="5"/>
    <col hidden="1" width="13" customWidth="1" min="7" max="7"/>
    <col hidden="1" width="13" customWidth="1" min="8" max="8"/>
    <col hidden="1" width="13" customWidth="1" min="9" max="9"/>
  </cols>
  <sheetData>
    <row r="1" ht="30" customHeight="1">
      <c r="A1" s="1" t="inlineStr">
        <is>
          <t>CFI · AOP 2026–27 · 3-level bifurcation   (Vertical › Activity › Sub-Activity · ₹6.0 Cr)</t>
        </is>
      </c>
    </row>
    <row r="2" ht="24" customHeight="1">
      <c r="A2" s="2" t="inlineStr">
        <is>
          <t>Particulars</t>
        </is>
      </c>
      <c r="B2" s="2" t="inlineStr">
        <is>
          <t>Level</t>
        </is>
      </c>
      <c r="C2" s="2" t="inlineStr">
        <is>
          <t>Budget (₹)</t>
        </is>
      </c>
      <c r="D2" s="2" t="inlineStr">
        <is>
          <t>In lacs</t>
        </is>
      </c>
      <c r="E2" s="2" t="inlineStr">
        <is>
          <t>% of AOP</t>
        </is>
      </c>
    </row>
    <row r="3">
      <c r="A3" s="3" t="inlineStr">
        <is>
          <t>TOTAL — Annual Operating Plan 2026–27</t>
        </is>
      </c>
      <c r="B3" s="4" t="inlineStr"/>
      <c r="C3" s="5">
        <f>SUM('Line Items'!$F$3:$F$175)</f>
        <v/>
      </c>
      <c r="D3" s="6">
        <f>C3/100000</f>
        <v/>
      </c>
      <c r="E3" s="7">
        <f>C3/$C$3</f>
        <v/>
      </c>
    </row>
    <row r="4">
      <c r="A4" s="8" t="inlineStr">
        <is>
          <t>Policy</t>
        </is>
      </c>
      <c r="B4" s="9" t="inlineStr">
        <is>
          <t>Vertical</t>
        </is>
      </c>
      <c r="C4" s="10">
        <f>SUMIF('Line Items'!$A$3:$A$175,$G4,'Line Items'!$F$3:$F$175)</f>
        <v/>
      </c>
      <c r="D4" s="11">
        <f>C4/100000</f>
        <v/>
      </c>
      <c r="E4" s="12">
        <f>C4/$C$3</f>
        <v/>
      </c>
      <c r="G4" t="inlineStr">
        <is>
          <t>Policy</t>
        </is>
      </c>
    </row>
    <row r="5" outlineLevel="1">
      <c r="A5" s="13" t="inlineStr">
        <is>
          <t>Legal Resources for Victims in Vernacular Languages</t>
        </is>
      </c>
      <c r="B5" s="14" t="inlineStr">
        <is>
          <t>Activity</t>
        </is>
      </c>
      <c r="C5" s="15">
        <f>SUMIFS('Line Items'!$F$3:$F$175,'Line Items'!$A$3:$A$175,$G5,'Line Items'!$B$3:$B$175,$H5)</f>
        <v/>
      </c>
      <c r="D5" s="16">
        <f>C5/100000</f>
        <v/>
      </c>
      <c r="E5" s="17">
        <f>C5/$C$3</f>
        <v/>
      </c>
      <c r="G5" t="inlineStr">
        <is>
          <t>Policy</t>
        </is>
      </c>
      <c r="H5" t="inlineStr">
        <is>
          <t>Legal Resources for Victims in Vernacular Languages</t>
        </is>
      </c>
    </row>
    <row r="6" outlineLevel="2">
      <c r="A6" s="18" t="inlineStr">
        <is>
          <t>Part 1: Development of Legal Resource Guide</t>
        </is>
      </c>
      <c r="B6" s="19" t="inlineStr">
        <is>
          <t>Sub-activity</t>
        </is>
      </c>
      <c r="C6" s="20">
        <f>SUMIFS('Line Items'!$F$3:$F$175,'Line Items'!$A$3:$A$175,$G6,'Line Items'!$B$3:$B$175,$H6,'Line Items'!$C$3:$C$175,$I6)</f>
        <v/>
      </c>
      <c r="D6" s="21">
        <f>C6/100000</f>
        <v/>
      </c>
      <c r="E6" s="22" t="n"/>
      <c r="G6" t="inlineStr">
        <is>
          <t>Policy</t>
        </is>
      </c>
      <c r="H6" t="inlineStr">
        <is>
          <t>Legal Resources for Victims in Vernacular Languages</t>
        </is>
      </c>
      <c r="I6" t="inlineStr">
        <is>
          <t>Part 1: Development of Legal Resource Guide</t>
        </is>
      </c>
    </row>
    <row r="7" outlineLevel="2">
      <c r="A7" s="18" t="inlineStr">
        <is>
          <t>Part 2: Outreach and Distribution</t>
        </is>
      </c>
      <c r="B7" s="19" t="inlineStr">
        <is>
          <t>Sub-activity</t>
        </is>
      </c>
      <c r="C7" s="20">
        <f>SUMIFS('Line Items'!$F$3:$F$175,'Line Items'!$A$3:$A$175,$G7,'Line Items'!$B$3:$B$175,$H7,'Line Items'!$C$3:$C$175,$I7)</f>
        <v/>
      </c>
      <c r="D7" s="21">
        <f>C7/100000</f>
        <v/>
      </c>
      <c r="E7" s="22" t="n"/>
      <c r="G7" t="inlineStr">
        <is>
          <t>Policy</t>
        </is>
      </c>
      <c r="H7" t="inlineStr">
        <is>
          <t>Legal Resources for Victims in Vernacular Languages</t>
        </is>
      </c>
      <c r="I7" t="inlineStr">
        <is>
          <t>Part 2: Outreach and Distribution</t>
        </is>
      </c>
    </row>
    <row r="8" outlineLevel="2">
      <c r="A8" s="18" t="inlineStr">
        <is>
          <t>Part 3: Awareness Workshops &amp; Law Camps</t>
        </is>
      </c>
      <c r="B8" s="19" t="inlineStr">
        <is>
          <t>Sub-activity</t>
        </is>
      </c>
      <c r="C8" s="20">
        <f>SUMIFS('Line Items'!$F$3:$F$175,'Line Items'!$A$3:$A$175,$G8,'Line Items'!$B$3:$B$175,$H8,'Line Items'!$C$3:$C$175,$I8)</f>
        <v/>
      </c>
      <c r="D8" s="21">
        <f>C8/100000</f>
        <v/>
      </c>
      <c r="E8" s="22" t="n"/>
      <c r="G8" t="inlineStr">
        <is>
          <t>Policy</t>
        </is>
      </c>
      <c r="H8" t="inlineStr">
        <is>
          <t>Legal Resources for Victims in Vernacular Languages</t>
        </is>
      </c>
      <c r="I8" t="inlineStr">
        <is>
          <t>Part 3: Awareness Workshops &amp; Law Camps</t>
        </is>
      </c>
    </row>
    <row r="9" outlineLevel="1">
      <c r="A9" s="13" t="inlineStr">
        <is>
          <t>Strengthening Road Safety Regulations via RTI/PIL</t>
        </is>
      </c>
      <c r="B9" s="14" t="inlineStr">
        <is>
          <t>Activity</t>
        </is>
      </c>
      <c r="C9" s="15">
        <f>SUMIFS('Line Items'!$F$3:$F$175,'Line Items'!$A$3:$A$175,$G9,'Line Items'!$B$3:$B$175,$H9)</f>
        <v/>
      </c>
      <c r="D9" s="16">
        <f>C9/100000</f>
        <v/>
      </c>
      <c r="E9" s="17">
        <f>C9/$C$3</f>
        <v/>
      </c>
      <c r="G9" t="inlineStr">
        <is>
          <t>Policy</t>
        </is>
      </c>
      <c r="H9" t="inlineStr">
        <is>
          <t>Strengthening Road Safety Regulations via RTI/PIL</t>
        </is>
      </c>
    </row>
    <row r="10" outlineLevel="2">
      <c r="A10" s="18" t="inlineStr">
        <is>
          <t>Part 1: Policy ecosystem mapping in India</t>
        </is>
      </c>
      <c r="B10" s="19" t="inlineStr">
        <is>
          <t>Sub-activity</t>
        </is>
      </c>
      <c r="C10" s="20">
        <f>SUMIFS('Line Items'!$F$3:$F$175,'Line Items'!$A$3:$A$175,$G10,'Line Items'!$B$3:$B$175,$H10,'Line Items'!$C$3:$C$175,$I10)</f>
        <v/>
      </c>
      <c r="D10" s="21">
        <f>C10/100000</f>
        <v/>
      </c>
      <c r="E10" s="22" t="n"/>
      <c r="G10" t="inlineStr">
        <is>
          <t>Policy</t>
        </is>
      </c>
      <c r="H10" t="inlineStr">
        <is>
          <t>Strengthening Road Safety Regulations via RTI/PIL</t>
        </is>
      </c>
      <c r="I10" t="inlineStr">
        <is>
          <t>Part 1: Policy ecosystem mapping in India</t>
        </is>
      </c>
    </row>
    <row r="11" outlineLevel="2">
      <c r="A11" s="18" t="inlineStr">
        <is>
          <t>Part 2: Policy ideathon in law universities</t>
        </is>
      </c>
      <c r="B11" s="19" t="inlineStr">
        <is>
          <t>Sub-activity</t>
        </is>
      </c>
      <c r="C11" s="20">
        <f>SUMIFS('Line Items'!$F$3:$F$175,'Line Items'!$A$3:$A$175,$G11,'Line Items'!$B$3:$B$175,$H11,'Line Items'!$C$3:$C$175,$I11)</f>
        <v/>
      </c>
      <c r="D11" s="21">
        <f>C11/100000</f>
        <v/>
      </c>
      <c r="E11" s="22" t="n"/>
      <c r="G11" t="inlineStr">
        <is>
          <t>Policy</t>
        </is>
      </c>
      <c r="H11" t="inlineStr">
        <is>
          <t>Strengthening Road Safety Regulations via RTI/PIL</t>
        </is>
      </c>
      <c r="I11" t="inlineStr">
        <is>
          <t>Part 2: Policy ideathon in law universities</t>
        </is>
      </c>
    </row>
    <row r="12" outlineLevel="2">
      <c r="A12" s="18" t="inlineStr">
        <is>
          <t>Part 3: Primary Research – Cashless Treatment &amp; Compensation</t>
        </is>
      </c>
      <c r="B12" s="19" t="inlineStr">
        <is>
          <t>Sub-activity</t>
        </is>
      </c>
      <c r="C12" s="20">
        <f>SUMIFS('Line Items'!$F$3:$F$175,'Line Items'!$A$3:$A$175,$G12,'Line Items'!$B$3:$B$175,$H12,'Line Items'!$C$3:$C$175,$I12)</f>
        <v/>
      </c>
      <c r="D12" s="21">
        <f>C12/100000</f>
        <v/>
      </c>
      <c r="E12" s="22" t="n"/>
      <c r="G12" t="inlineStr">
        <is>
          <t>Policy</t>
        </is>
      </c>
      <c r="H12" t="inlineStr">
        <is>
          <t>Strengthening Road Safety Regulations via RTI/PIL</t>
        </is>
      </c>
      <c r="I12" t="inlineStr">
        <is>
          <t>Part 3: Primary Research – Cashless Treatment &amp; Compensation</t>
        </is>
      </c>
    </row>
    <row r="13">
      <c r="A13" s="8" t="inlineStr">
        <is>
          <t>Infrastructure</t>
        </is>
      </c>
      <c r="B13" s="9" t="inlineStr">
        <is>
          <t>Vertical</t>
        </is>
      </c>
      <c r="C13" s="10">
        <f>SUMIF('Line Items'!$A$3:$A$175,$G13,'Line Items'!$F$3:$F$175)</f>
        <v/>
      </c>
      <c r="D13" s="11">
        <f>C13/100000</f>
        <v/>
      </c>
      <c r="E13" s="12">
        <f>C13/$C$3</f>
        <v/>
      </c>
      <c r="G13" t="inlineStr">
        <is>
          <t>Infrastructure</t>
        </is>
      </c>
    </row>
    <row r="14" outlineLevel="1">
      <c r="A14" s="13" t="inlineStr">
        <is>
          <t>Infrastructure Internship and School Safety Zone</t>
        </is>
      </c>
      <c r="B14" s="14" t="inlineStr">
        <is>
          <t>Activity</t>
        </is>
      </c>
      <c r="C14" s="15">
        <f>SUMIFS('Line Items'!$F$3:$F$175,'Line Items'!$A$3:$A$175,$G14,'Line Items'!$B$3:$B$175,$H14)</f>
        <v/>
      </c>
      <c r="D14" s="16">
        <f>C14/100000</f>
        <v/>
      </c>
      <c r="E14" s="17">
        <f>C14/$C$3</f>
        <v/>
      </c>
      <c r="G14" t="inlineStr">
        <is>
          <t>Infrastructure</t>
        </is>
      </c>
      <c r="H14" t="inlineStr">
        <is>
          <t>Infrastructure Internship and School Safety Zone</t>
        </is>
      </c>
    </row>
    <row r="15" outlineLevel="2">
      <c r="A15" s="18" t="inlineStr">
        <is>
          <t>1. Infrastructure Internship</t>
        </is>
      </c>
      <c r="B15" s="19" t="inlineStr">
        <is>
          <t>Sub-activity</t>
        </is>
      </c>
      <c r="C15" s="20">
        <f>SUMIFS('Line Items'!$F$3:$F$175,'Line Items'!$A$3:$A$175,$G15,'Line Items'!$B$3:$B$175,$H15,'Line Items'!$C$3:$C$175,$I15)</f>
        <v/>
      </c>
      <c r="D15" s="21">
        <f>C15/100000</f>
        <v/>
      </c>
      <c r="E15" s="22" t="n"/>
      <c r="G15" t="inlineStr">
        <is>
          <t>Infrastructure</t>
        </is>
      </c>
      <c r="H15" t="inlineStr">
        <is>
          <t>Infrastructure Internship and School Safety Zone</t>
        </is>
      </c>
      <c r="I15" t="inlineStr">
        <is>
          <t>1. Infrastructure Internship</t>
        </is>
      </c>
    </row>
    <row r="16" outlineLevel="2">
      <c r="A16" s="18" t="inlineStr">
        <is>
          <t>2. Government Engagement &amp; Advocacy</t>
        </is>
      </c>
      <c r="B16" s="19" t="inlineStr">
        <is>
          <t>Sub-activity</t>
        </is>
      </c>
      <c r="C16" s="20">
        <f>SUMIFS('Line Items'!$F$3:$F$175,'Line Items'!$A$3:$A$175,$G16,'Line Items'!$B$3:$B$175,$H16,'Line Items'!$C$3:$C$175,$I16)</f>
        <v/>
      </c>
      <c r="D16" s="21">
        <f>C16/100000</f>
        <v/>
      </c>
      <c r="E16" s="22" t="n"/>
      <c r="G16" t="inlineStr">
        <is>
          <t>Infrastructure</t>
        </is>
      </c>
      <c r="H16" t="inlineStr">
        <is>
          <t>Infrastructure Internship and School Safety Zone</t>
        </is>
      </c>
      <c r="I16" t="inlineStr">
        <is>
          <t>2. Government Engagement &amp; Advocacy</t>
        </is>
      </c>
    </row>
    <row r="17" outlineLevel="2">
      <c r="A17" s="18" t="inlineStr">
        <is>
          <t>3. Safe School Zone – Pilots</t>
        </is>
      </c>
      <c r="B17" s="19" t="inlineStr">
        <is>
          <t>Sub-activity</t>
        </is>
      </c>
      <c r="C17" s="20">
        <f>SUMIFS('Line Items'!$F$3:$F$175,'Line Items'!$A$3:$A$175,$G17,'Line Items'!$B$3:$B$175,$H17,'Line Items'!$C$3:$C$175,$I17)</f>
        <v/>
      </c>
      <c r="D17" s="21">
        <f>C17/100000</f>
        <v/>
      </c>
      <c r="E17" s="22" t="n"/>
      <c r="G17" t="inlineStr">
        <is>
          <t>Infrastructure</t>
        </is>
      </c>
      <c r="H17" t="inlineStr">
        <is>
          <t>Infrastructure Internship and School Safety Zone</t>
        </is>
      </c>
      <c r="I17" t="inlineStr">
        <is>
          <t>3. Safe School Zone – Pilots</t>
        </is>
      </c>
    </row>
    <row r="18">
      <c r="A18" s="8" t="inlineStr">
        <is>
          <t>Technology</t>
        </is>
      </c>
      <c r="B18" s="9" t="inlineStr">
        <is>
          <t>Vertical</t>
        </is>
      </c>
      <c r="C18" s="10">
        <f>SUMIF('Line Items'!$A$3:$A$175,$G18,'Line Items'!$F$3:$F$175)</f>
        <v/>
      </c>
      <c r="D18" s="11">
        <f>C18/100000</f>
        <v/>
      </c>
      <c r="E18" s="12">
        <f>C18/$C$3</f>
        <v/>
      </c>
      <c r="G18" t="inlineStr">
        <is>
          <t>Technology</t>
        </is>
      </c>
    </row>
    <row r="19" outlineLevel="1">
      <c r="A19" s="13" t="inlineStr">
        <is>
          <t>Collaboration with Google to influence user behaviour using maps</t>
        </is>
      </c>
      <c r="B19" s="14" t="inlineStr">
        <is>
          <t>Activity</t>
        </is>
      </c>
      <c r="C19" s="15">
        <f>SUMIFS('Line Items'!$F$3:$F$175,'Line Items'!$A$3:$A$175,$G19,'Line Items'!$B$3:$B$175,$H19)</f>
        <v/>
      </c>
      <c r="D19" s="16">
        <f>C19/100000</f>
        <v/>
      </c>
      <c r="E19" s="17">
        <f>C19/$C$3</f>
        <v/>
      </c>
      <c r="G19" t="inlineStr">
        <is>
          <t>Technology</t>
        </is>
      </c>
      <c r="H19" t="inlineStr">
        <is>
          <t>Collaboration with Google to influence user behaviour using maps</t>
        </is>
      </c>
    </row>
    <row r="20" outlineLevel="2">
      <c r="A20" s="18" t="inlineStr">
        <is>
          <t>1. Research, Behavour mapping and data preparation</t>
        </is>
      </c>
      <c r="B20" s="19" t="inlineStr">
        <is>
          <t>Sub-activity</t>
        </is>
      </c>
      <c r="C20" s="20">
        <f>SUMIFS('Line Items'!$F$3:$F$175,'Line Items'!$A$3:$A$175,$G20,'Line Items'!$B$3:$B$175,$H20,'Line Items'!$C$3:$C$175,$I20)</f>
        <v/>
      </c>
      <c r="D20" s="21">
        <f>C20/100000</f>
        <v/>
      </c>
      <c r="E20" s="22" t="n"/>
      <c r="G20" t="inlineStr">
        <is>
          <t>Technology</t>
        </is>
      </c>
      <c r="H20" t="inlineStr">
        <is>
          <t>Collaboration with Google to influence user behaviour using maps</t>
        </is>
      </c>
      <c r="I20" t="inlineStr">
        <is>
          <t>1. Research, Behavour mapping and data preparation</t>
        </is>
      </c>
    </row>
    <row r="21" outlineLevel="2">
      <c r="A21" s="18" t="inlineStr">
        <is>
          <t>2. Nudge &amp; Messaging Strategy</t>
        </is>
      </c>
      <c r="B21" s="19" t="inlineStr">
        <is>
          <t>Sub-activity</t>
        </is>
      </c>
      <c r="C21" s="20">
        <f>SUMIFS('Line Items'!$F$3:$F$175,'Line Items'!$A$3:$A$175,$G21,'Line Items'!$B$3:$B$175,$H21,'Line Items'!$C$3:$C$175,$I21)</f>
        <v/>
      </c>
      <c r="D21" s="21">
        <f>C21/100000</f>
        <v/>
      </c>
      <c r="E21" s="22" t="n"/>
      <c r="G21" t="inlineStr">
        <is>
          <t>Technology</t>
        </is>
      </c>
      <c r="H21" t="inlineStr">
        <is>
          <t>Collaboration with Google to influence user behaviour using maps</t>
        </is>
      </c>
      <c r="I21" t="inlineStr">
        <is>
          <t>2. Nudge &amp; Messaging Strategy</t>
        </is>
      </c>
    </row>
    <row r="22" outlineLevel="2">
      <c r="A22" s="18" t="inlineStr">
        <is>
          <t>3. Coordination &amp; Liaison with Google</t>
        </is>
      </c>
      <c r="B22" s="19" t="inlineStr">
        <is>
          <t>Sub-activity</t>
        </is>
      </c>
      <c r="C22" s="20">
        <f>SUMIFS('Line Items'!$F$3:$F$175,'Line Items'!$A$3:$A$175,$G22,'Line Items'!$B$3:$B$175,$H22,'Line Items'!$C$3:$C$175,$I22)</f>
        <v/>
      </c>
      <c r="D22" s="21">
        <f>C22/100000</f>
        <v/>
      </c>
      <c r="E22" s="22" t="n"/>
      <c r="G22" t="inlineStr">
        <is>
          <t>Technology</t>
        </is>
      </c>
      <c r="H22" t="inlineStr">
        <is>
          <t>Collaboration with Google to influence user behaviour using maps</t>
        </is>
      </c>
      <c r="I22" t="inlineStr">
        <is>
          <t>3. Coordination &amp; Liaison with Google</t>
        </is>
      </c>
    </row>
    <row r="23" outlineLevel="1">
      <c r="A23" s="13" t="inlineStr">
        <is>
          <t>Community Action via Mobile App</t>
        </is>
      </c>
      <c r="B23" s="14" t="inlineStr">
        <is>
          <t>Activity</t>
        </is>
      </c>
      <c r="C23" s="15">
        <f>SUMIFS('Line Items'!$F$3:$F$175,'Line Items'!$A$3:$A$175,$G23,'Line Items'!$B$3:$B$175,$H23)</f>
        <v/>
      </c>
      <c r="D23" s="16">
        <f>C23/100000</f>
        <v/>
      </c>
      <c r="E23" s="17">
        <f>C23/$C$3</f>
        <v/>
      </c>
      <c r="G23" t="inlineStr">
        <is>
          <t>Technology</t>
        </is>
      </c>
      <c r="H23" t="inlineStr">
        <is>
          <t>Community Action via Mobile App</t>
        </is>
      </c>
    </row>
    <row r="24" outlineLevel="2">
      <c r="A24" s="18" t="inlineStr">
        <is>
          <t>1. App Features – Strategy &amp; Coordination</t>
        </is>
      </c>
      <c r="B24" s="19" t="inlineStr">
        <is>
          <t>Sub-activity</t>
        </is>
      </c>
      <c r="C24" s="20">
        <f>SUMIFS('Line Items'!$F$3:$F$175,'Line Items'!$A$3:$A$175,$G24,'Line Items'!$B$3:$B$175,$H24,'Line Items'!$C$3:$C$175,$I24)</f>
        <v/>
      </c>
      <c r="D24" s="21">
        <f>C24/100000</f>
        <v/>
      </c>
      <c r="E24" s="22" t="n"/>
      <c r="G24" t="inlineStr">
        <is>
          <t>Technology</t>
        </is>
      </c>
      <c r="H24" t="inlineStr">
        <is>
          <t>Community Action via Mobile App</t>
        </is>
      </c>
      <c r="I24" t="inlineStr">
        <is>
          <t>1. App Features – Strategy &amp; Coordination</t>
        </is>
      </c>
    </row>
    <row r="25" outlineLevel="2">
      <c r="A25" s="18" t="inlineStr">
        <is>
          <t>2. Liasioning for data</t>
        </is>
      </c>
      <c r="B25" s="19" t="inlineStr">
        <is>
          <t>Sub-activity</t>
        </is>
      </c>
      <c r="C25" s="20">
        <f>SUMIFS('Line Items'!$F$3:$F$175,'Line Items'!$A$3:$A$175,$G25,'Line Items'!$B$3:$B$175,$H25,'Line Items'!$C$3:$C$175,$I25)</f>
        <v/>
      </c>
      <c r="D25" s="21">
        <f>C25/100000</f>
        <v/>
      </c>
      <c r="E25" s="22" t="n"/>
      <c r="G25" t="inlineStr">
        <is>
          <t>Technology</t>
        </is>
      </c>
      <c r="H25" t="inlineStr">
        <is>
          <t>Community Action via Mobile App</t>
        </is>
      </c>
      <c r="I25" t="inlineStr">
        <is>
          <t>2. Liasioning for data</t>
        </is>
      </c>
    </row>
    <row r="26" outlineLevel="2">
      <c r="A26" s="18" t="inlineStr">
        <is>
          <t>3. Content &amp; Storytelling</t>
        </is>
      </c>
      <c r="B26" s="19" t="inlineStr">
        <is>
          <t>Sub-activity</t>
        </is>
      </c>
      <c r="C26" s="20">
        <f>SUMIFS('Line Items'!$F$3:$F$175,'Line Items'!$A$3:$A$175,$G26,'Line Items'!$B$3:$B$175,$H26,'Line Items'!$C$3:$C$175,$I26)</f>
        <v/>
      </c>
      <c r="D26" s="21">
        <f>C26/100000</f>
        <v/>
      </c>
      <c r="E26" s="22" t="n"/>
      <c r="G26" t="inlineStr">
        <is>
          <t>Technology</t>
        </is>
      </c>
      <c r="H26" t="inlineStr">
        <is>
          <t>Community Action via Mobile App</t>
        </is>
      </c>
      <c r="I26" t="inlineStr">
        <is>
          <t>3. Content &amp; Storytelling</t>
        </is>
      </c>
    </row>
    <row r="27" outlineLevel="2">
      <c r="A27" s="18" t="inlineStr">
        <is>
          <t>4. Incentives &amp; Recognition</t>
        </is>
      </c>
      <c r="B27" s="19" t="inlineStr">
        <is>
          <t>Sub-activity</t>
        </is>
      </c>
      <c r="C27" s="20">
        <f>SUMIFS('Line Items'!$F$3:$F$175,'Line Items'!$A$3:$A$175,$G27,'Line Items'!$B$3:$B$175,$H27,'Line Items'!$C$3:$C$175,$I27)</f>
        <v/>
      </c>
      <c r="D27" s="21">
        <f>C27/100000</f>
        <v/>
      </c>
      <c r="E27" s="22" t="n"/>
      <c r="G27" t="inlineStr">
        <is>
          <t>Technology</t>
        </is>
      </c>
      <c r="H27" t="inlineStr">
        <is>
          <t>Community Action via Mobile App</t>
        </is>
      </c>
      <c r="I27" t="inlineStr">
        <is>
          <t>4. Incentives &amp; Recognition</t>
        </is>
      </c>
    </row>
    <row r="28" outlineLevel="2">
      <c r="A28" s="18" t="inlineStr">
        <is>
          <t>5. Marketing &amp; Promotional Outreach</t>
        </is>
      </c>
      <c r="B28" s="19" t="inlineStr">
        <is>
          <t>Sub-activity</t>
        </is>
      </c>
      <c r="C28" s="20">
        <f>SUMIFS('Line Items'!$F$3:$F$175,'Line Items'!$A$3:$A$175,$G28,'Line Items'!$B$3:$B$175,$H28,'Line Items'!$C$3:$C$175,$I28)</f>
        <v/>
      </c>
      <c r="D28" s="21">
        <f>C28/100000</f>
        <v/>
      </c>
      <c r="E28" s="22" t="n"/>
      <c r="G28" t="inlineStr">
        <is>
          <t>Technology</t>
        </is>
      </c>
      <c r="H28" t="inlineStr">
        <is>
          <t>Community Action via Mobile App</t>
        </is>
      </c>
      <c r="I28" t="inlineStr">
        <is>
          <t>5. Marketing &amp; Promotional Outreach</t>
        </is>
      </c>
    </row>
    <row r="29" outlineLevel="1">
      <c r="A29" s="13" t="inlineStr">
        <is>
          <t>National Level Road Safety International Hackathon (Marketing activity / Promoting use of tech of road safety)</t>
        </is>
      </c>
      <c r="B29" s="14" t="inlineStr">
        <is>
          <t>Activity</t>
        </is>
      </c>
      <c r="C29" s="15">
        <f>SUMIFS('Line Items'!$F$3:$F$175,'Line Items'!$A$3:$A$175,$G29,'Line Items'!$B$3:$B$175,$H29)</f>
        <v/>
      </c>
      <c r="D29" s="16">
        <f>C29/100000</f>
        <v/>
      </c>
      <c r="E29" s="17">
        <f>C29/$C$3</f>
        <v/>
      </c>
      <c r="G29" t="inlineStr">
        <is>
          <t>Technology</t>
        </is>
      </c>
      <c r="H29" t="inlineStr">
        <is>
          <t>National Level Road Safety International Hackathon (Marketing activity / Promoting use of tech of road safety)</t>
        </is>
      </c>
    </row>
    <row r="30" outlineLevel="2">
      <c r="A30" s="18" t="inlineStr">
        <is>
          <t>1. Pre-Hackathon Planning &amp; Outreach</t>
        </is>
      </c>
      <c r="B30" s="19" t="inlineStr">
        <is>
          <t>Sub-activity</t>
        </is>
      </c>
      <c r="C30" s="20">
        <f>SUMIFS('Line Items'!$F$3:$F$175,'Line Items'!$A$3:$A$175,$G30,'Line Items'!$B$3:$B$175,$H30,'Line Items'!$C$3:$C$175,$I30)</f>
        <v/>
      </c>
      <c r="D30" s="21">
        <f>C30/100000</f>
        <v/>
      </c>
      <c r="E30" s="22" t="n"/>
      <c r="G30" t="inlineStr">
        <is>
          <t>Technology</t>
        </is>
      </c>
      <c r="H30" t="inlineStr">
        <is>
          <t>National Level Road Safety International Hackathon (Marketing activity / Promoting use of tech of road safety)</t>
        </is>
      </c>
      <c r="I30" t="inlineStr">
        <is>
          <t>1. Pre-Hackathon Planning &amp; Outreach</t>
        </is>
      </c>
    </row>
    <row r="31" outlineLevel="2">
      <c r="A31" s="18" t="inlineStr">
        <is>
          <t>2. Zonal Hackathons (2 IITs)</t>
        </is>
      </c>
      <c r="B31" s="19" t="inlineStr">
        <is>
          <t>Sub-activity</t>
        </is>
      </c>
      <c r="C31" s="20">
        <f>SUMIFS('Line Items'!$F$3:$F$175,'Line Items'!$A$3:$A$175,$G31,'Line Items'!$B$3:$B$175,$H31,'Line Items'!$C$3:$C$175,$I31)</f>
        <v/>
      </c>
      <c r="D31" s="21">
        <f>C31/100000</f>
        <v/>
      </c>
      <c r="E31" s="22" t="n"/>
      <c r="G31" t="inlineStr">
        <is>
          <t>Technology</t>
        </is>
      </c>
      <c r="H31" t="inlineStr">
        <is>
          <t>National Level Road Safety International Hackathon (Marketing activity / Promoting use of tech of road safety)</t>
        </is>
      </c>
      <c r="I31" t="inlineStr">
        <is>
          <t>2. Zonal Hackathons (2 IITs)</t>
        </is>
      </c>
    </row>
    <row r="32" outlineLevel="2">
      <c r="A32" s="18" t="inlineStr">
        <is>
          <t>3. Grand Finale – National Event</t>
        </is>
      </c>
      <c r="B32" s="19" t="inlineStr">
        <is>
          <t>Sub-activity</t>
        </is>
      </c>
      <c r="C32" s="20">
        <f>SUMIFS('Line Items'!$F$3:$F$175,'Line Items'!$A$3:$A$175,$G32,'Line Items'!$B$3:$B$175,$H32,'Line Items'!$C$3:$C$175,$I32)</f>
        <v/>
      </c>
      <c r="D32" s="21">
        <f>C32/100000</f>
        <v/>
      </c>
      <c r="E32" s="22" t="n"/>
      <c r="G32" t="inlineStr">
        <is>
          <t>Technology</t>
        </is>
      </c>
      <c r="H32" t="inlineStr">
        <is>
          <t>National Level Road Safety International Hackathon (Marketing activity / Promoting use of tech of road safety)</t>
        </is>
      </c>
      <c r="I32" t="inlineStr">
        <is>
          <t>3. Grand Finale – National Event</t>
        </is>
      </c>
    </row>
    <row r="33" outlineLevel="2">
      <c r="A33" s="18" t="inlineStr">
        <is>
          <t>4. Prizes &amp; Recognition</t>
        </is>
      </c>
      <c r="B33" s="19" t="inlineStr">
        <is>
          <t>Sub-activity</t>
        </is>
      </c>
      <c r="C33" s="20">
        <f>SUMIFS('Line Items'!$F$3:$F$175,'Line Items'!$A$3:$A$175,$G33,'Line Items'!$B$3:$B$175,$H33,'Line Items'!$C$3:$C$175,$I33)</f>
        <v/>
      </c>
      <c r="D33" s="21">
        <f>C33/100000</f>
        <v/>
      </c>
      <c r="E33" s="22" t="n"/>
      <c r="G33" t="inlineStr">
        <is>
          <t>Technology</t>
        </is>
      </c>
      <c r="H33" t="inlineStr">
        <is>
          <t>National Level Road Safety International Hackathon (Marketing activity / Promoting use of tech of road safety)</t>
        </is>
      </c>
      <c r="I33" t="inlineStr">
        <is>
          <t>4. Prizes &amp; Recognition</t>
        </is>
      </c>
    </row>
    <row r="34" outlineLevel="2">
      <c r="A34" s="18" t="inlineStr">
        <is>
          <t>5. Documentation &amp; Post-Event</t>
        </is>
      </c>
      <c r="B34" s="19" t="inlineStr">
        <is>
          <t>Sub-activity</t>
        </is>
      </c>
      <c r="C34" s="20">
        <f>SUMIFS('Line Items'!$F$3:$F$175,'Line Items'!$A$3:$A$175,$G34,'Line Items'!$B$3:$B$175,$H34,'Line Items'!$C$3:$C$175,$I34)</f>
        <v/>
      </c>
      <c r="D34" s="21">
        <f>C34/100000</f>
        <v/>
      </c>
      <c r="E34" s="22" t="n"/>
      <c r="G34" t="inlineStr">
        <is>
          <t>Technology</t>
        </is>
      </c>
      <c r="H34" t="inlineStr">
        <is>
          <t>National Level Road Safety International Hackathon (Marketing activity / Promoting use of tech of road safety)</t>
        </is>
      </c>
      <c r="I34" t="inlineStr">
        <is>
          <t>5. Documentation &amp; Post-Event</t>
        </is>
      </c>
    </row>
    <row r="35" outlineLevel="1">
      <c r="A35" s="13" t="inlineStr">
        <is>
          <t>Safety API</t>
        </is>
      </c>
      <c r="B35" s="14" t="inlineStr">
        <is>
          <t>Activity</t>
        </is>
      </c>
      <c r="C35" s="15">
        <f>SUMIFS('Line Items'!$F$3:$F$175,'Line Items'!$A$3:$A$175,$G35,'Line Items'!$B$3:$B$175,$H35)</f>
        <v/>
      </c>
      <c r="D35" s="16">
        <f>C35/100000</f>
        <v/>
      </c>
      <c r="E35" s="17">
        <f>C35/$C$3</f>
        <v/>
      </c>
      <c r="G35" t="inlineStr">
        <is>
          <t>Technology</t>
        </is>
      </c>
      <c r="H35" t="inlineStr">
        <is>
          <t>Safety API</t>
        </is>
      </c>
    </row>
    <row r="36" outlineLevel="2">
      <c r="A36" s="18" t="inlineStr">
        <is>
          <t>1. Product Strategy, User research</t>
        </is>
      </c>
      <c r="B36" s="19" t="inlineStr">
        <is>
          <t>Sub-activity</t>
        </is>
      </c>
      <c r="C36" s="20">
        <f>SUMIFS('Line Items'!$F$3:$F$175,'Line Items'!$A$3:$A$175,$G36,'Line Items'!$B$3:$B$175,$H36,'Line Items'!$C$3:$C$175,$I36)</f>
        <v/>
      </c>
      <c r="D36" s="21">
        <f>C36/100000</f>
        <v/>
      </c>
      <c r="E36" s="22" t="n"/>
      <c r="G36" t="inlineStr">
        <is>
          <t>Technology</t>
        </is>
      </c>
      <c r="H36" t="inlineStr">
        <is>
          <t>Safety API</t>
        </is>
      </c>
      <c r="I36" t="inlineStr">
        <is>
          <t>1. Product Strategy, User research</t>
        </is>
      </c>
    </row>
    <row r="37" outlineLevel="2">
      <c r="A37" s="18" t="inlineStr">
        <is>
          <t>2. Driving Behavior &amp; Risk Modeling</t>
        </is>
      </c>
      <c r="B37" s="19" t="inlineStr">
        <is>
          <t>Sub-activity</t>
        </is>
      </c>
      <c r="C37" s="20">
        <f>SUMIFS('Line Items'!$F$3:$F$175,'Line Items'!$A$3:$A$175,$G37,'Line Items'!$B$3:$B$175,$H37,'Line Items'!$C$3:$C$175,$I37)</f>
        <v/>
      </c>
      <c r="D37" s="21">
        <f>C37/100000</f>
        <v/>
      </c>
      <c r="E37" s="22" t="n"/>
      <c r="G37" t="inlineStr">
        <is>
          <t>Technology</t>
        </is>
      </c>
      <c r="H37" t="inlineStr">
        <is>
          <t>Safety API</t>
        </is>
      </c>
      <c r="I37" t="inlineStr">
        <is>
          <t>2. Driving Behavior &amp; Risk Modeling</t>
        </is>
      </c>
    </row>
    <row r="38" outlineLevel="2">
      <c r="A38" s="18" t="inlineStr">
        <is>
          <t>3. MVP user Research &amp; Feedback Loops</t>
        </is>
      </c>
      <c r="B38" s="19" t="inlineStr">
        <is>
          <t>Sub-activity</t>
        </is>
      </c>
      <c r="C38" s="20">
        <f>SUMIFS('Line Items'!$F$3:$F$175,'Line Items'!$A$3:$A$175,$G38,'Line Items'!$B$3:$B$175,$H38,'Line Items'!$C$3:$C$175,$I38)</f>
        <v/>
      </c>
      <c r="D38" s="21">
        <f>C38/100000</f>
        <v/>
      </c>
      <c r="E38" s="22" t="n"/>
      <c r="G38" t="inlineStr">
        <is>
          <t>Technology</t>
        </is>
      </c>
      <c r="H38" t="inlineStr">
        <is>
          <t>Safety API</t>
        </is>
      </c>
      <c r="I38" t="inlineStr">
        <is>
          <t>3. MVP user Research &amp; Feedback Loops</t>
        </is>
      </c>
    </row>
    <row r="39" outlineLevel="1">
      <c r="A39" s="13" t="inlineStr">
        <is>
          <t>Safekart</t>
        </is>
      </c>
      <c r="B39" s="14" t="inlineStr">
        <is>
          <t>Activity</t>
        </is>
      </c>
      <c r="C39" s="15">
        <f>SUMIFS('Line Items'!$F$3:$F$175,'Line Items'!$A$3:$A$175,$G39,'Line Items'!$B$3:$B$175,$H39)</f>
        <v/>
      </c>
      <c r="D39" s="16">
        <f>C39/100000</f>
        <v/>
      </c>
      <c r="E39" s="17">
        <f>C39/$C$3</f>
        <v/>
      </c>
      <c r="G39" t="inlineStr">
        <is>
          <t>Technology</t>
        </is>
      </c>
      <c r="H39" t="inlineStr">
        <is>
          <t>Safekart</t>
        </is>
      </c>
    </row>
    <row r="40" outlineLevel="2">
      <c r="A40" s="18" t="inlineStr">
        <is>
          <t>1. User research and scoping</t>
        </is>
      </c>
      <c r="B40" s="19" t="inlineStr">
        <is>
          <t>Sub-activity</t>
        </is>
      </c>
      <c r="C40" s="20">
        <f>SUMIFS('Line Items'!$F$3:$F$175,'Line Items'!$A$3:$A$175,$G40,'Line Items'!$B$3:$B$175,$H40,'Line Items'!$C$3:$C$175,$I40)</f>
        <v/>
      </c>
      <c r="D40" s="21">
        <f>C40/100000</f>
        <v/>
      </c>
      <c r="E40" s="22" t="n"/>
      <c r="G40" t="inlineStr">
        <is>
          <t>Technology</t>
        </is>
      </c>
      <c r="H40" t="inlineStr">
        <is>
          <t>Safekart</t>
        </is>
      </c>
      <c r="I40" t="inlineStr">
        <is>
          <t>1. User research and scoping</t>
        </is>
      </c>
    </row>
    <row r="41" outlineLevel="2">
      <c r="A41" s="18" t="inlineStr">
        <is>
          <t>2. Secondary and primary research</t>
        </is>
      </c>
      <c r="B41" s="19" t="inlineStr">
        <is>
          <t>Sub-activity</t>
        </is>
      </c>
      <c r="C41" s="20">
        <f>SUMIFS('Line Items'!$F$3:$F$175,'Line Items'!$A$3:$A$175,$G41,'Line Items'!$B$3:$B$175,$H41,'Line Items'!$C$3:$C$175,$I41)</f>
        <v/>
      </c>
      <c r="D41" s="21">
        <f>C41/100000</f>
        <v/>
      </c>
      <c r="E41" s="22" t="n"/>
      <c r="G41" t="inlineStr">
        <is>
          <t>Technology</t>
        </is>
      </c>
      <c r="H41" t="inlineStr">
        <is>
          <t>Safekart</t>
        </is>
      </c>
      <c r="I41" t="inlineStr">
        <is>
          <t>2. Secondary and primary research</t>
        </is>
      </c>
    </row>
    <row r="42" outlineLevel="2">
      <c r="A42" s="18" t="inlineStr">
        <is>
          <t>3. Expert engagement</t>
        </is>
      </c>
      <c r="B42" s="19" t="inlineStr">
        <is>
          <t>Sub-activity</t>
        </is>
      </c>
      <c r="C42" s="20">
        <f>SUMIFS('Line Items'!$F$3:$F$175,'Line Items'!$A$3:$A$175,$G42,'Line Items'!$B$3:$B$175,$H42,'Line Items'!$C$3:$C$175,$I42)</f>
        <v/>
      </c>
      <c r="D42" s="21">
        <f>C42/100000</f>
        <v/>
      </c>
      <c r="E42" s="22" t="n"/>
      <c r="G42" t="inlineStr">
        <is>
          <t>Technology</t>
        </is>
      </c>
      <c r="H42" t="inlineStr">
        <is>
          <t>Safekart</t>
        </is>
      </c>
      <c r="I42" t="inlineStr">
        <is>
          <t>3. Expert engagement</t>
        </is>
      </c>
    </row>
    <row r="43" outlineLevel="2">
      <c r="A43" s="18" t="inlineStr">
        <is>
          <t>4. Design and development</t>
        </is>
      </c>
      <c r="B43" s="19" t="inlineStr">
        <is>
          <t>Sub-activity</t>
        </is>
      </c>
      <c r="C43" s="20">
        <f>SUMIFS('Line Items'!$F$3:$F$175,'Line Items'!$A$3:$A$175,$G43,'Line Items'!$B$3:$B$175,$H43,'Line Items'!$C$3:$C$175,$I43)</f>
        <v/>
      </c>
      <c r="D43" s="21">
        <f>C43/100000</f>
        <v/>
      </c>
      <c r="E43" s="22" t="n"/>
      <c r="G43" t="inlineStr">
        <is>
          <t>Technology</t>
        </is>
      </c>
      <c r="H43" t="inlineStr">
        <is>
          <t>Safekart</t>
        </is>
      </c>
      <c r="I43" t="inlineStr">
        <is>
          <t>4. Design and development</t>
        </is>
      </c>
    </row>
    <row r="44">
      <c r="A44" s="8" t="inlineStr">
        <is>
          <t>Post-emergency care</t>
        </is>
      </c>
      <c r="B44" s="9" t="inlineStr">
        <is>
          <t>Vertical</t>
        </is>
      </c>
      <c r="C44" s="10">
        <f>SUMIF('Line Items'!$A$3:$A$175,$G44,'Line Items'!$F$3:$F$175)</f>
        <v/>
      </c>
      <c r="D44" s="11">
        <f>C44/100000</f>
        <v/>
      </c>
      <c r="E44" s="12">
        <f>C44/$C$3</f>
        <v/>
      </c>
      <c r="G44" t="inlineStr">
        <is>
          <t>Post-emergency care</t>
        </is>
      </c>
    </row>
    <row r="45" outlineLevel="1">
      <c r="A45" s="13" t="inlineStr">
        <is>
          <t>First Responder Training</t>
        </is>
      </c>
      <c r="B45" s="14" t="inlineStr">
        <is>
          <t>Activity</t>
        </is>
      </c>
      <c r="C45" s="15">
        <f>SUMIFS('Line Items'!$F$3:$F$175,'Line Items'!$A$3:$A$175,$G45,'Line Items'!$B$3:$B$175,$H45)</f>
        <v/>
      </c>
      <c r="D45" s="16">
        <f>C45/100000</f>
        <v/>
      </c>
      <c r="E45" s="17">
        <f>C45/$C$3</f>
        <v/>
      </c>
      <c r="G45" t="inlineStr">
        <is>
          <t>Post-emergency care</t>
        </is>
      </c>
      <c r="H45" t="inlineStr">
        <is>
          <t>First Responder Training</t>
        </is>
      </c>
    </row>
    <row r="46" outlineLevel="2">
      <c r="A46" s="18" t="inlineStr">
        <is>
          <t>1. Outsourced First Aid Training Sessions</t>
        </is>
      </c>
      <c r="B46" s="19" t="inlineStr">
        <is>
          <t>Sub-activity</t>
        </is>
      </c>
      <c r="C46" s="20">
        <f>SUMIFS('Line Items'!$F$3:$F$175,'Line Items'!$A$3:$A$175,$G46,'Line Items'!$B$3:$B$175,$H46,'Line Items'!$C$3:$C$175,$I46)</f>
        <v/>
      </c>
      <c r="D46" s="21">
        <f>C46/100000</f>
        <v/>
      </c>
      <c r="E46" s="22" t="n"/>
      <c r="G46" t="inlineStr">
        <is>
          <t>Post-emergency care</t>
        </is>
      </c>
      <c r="H46" t="inlineStr">
        <is>
          <t>First Responder Training</t>
        </is>
      </c>
      <c r="I46" t="inlineStr">
        <is>
          <t>1. Outsourced First Aid Training Sessions</t>
        </is>
      </c>
    </row>
    <row r="47" outlineLevel="2">
      <c r="A47" s="18" t="inlineStr">
        <is>
          <t>2. Refresher Course &amp; Learning Materials</t>
        </is>
      </c>
      <c r="B47" s="19" t="inlineStr">
        <is>
          <t>Sub-activity</t>
        </is>
      </c>
      <c r="C47" s="20">
        <f>SUMIFS('Line Items'!$F$3:$F$175,'Line Items'!$A$3:$A$175,$G47,'Line Items'!$B$3:$B$175,$H47,'Line Items'!$C$3:$C$175,$I47)</f>
        <v/>
      </c>
      <c r="D47" s="21">
        <f>C47/100000</f>
        <v/>
      </c>
      <c r="E47" s="22" t="n"/>
      <c r="G47" t="inlineStr">
        <is>
          <t>Post-emergency care</t>
        </is>
      </c>
      <c r="H47" t="inlineStr">
        <is>
          <t>First Responder Training</t>
        </is>
      </c>
      <c r="I47" t="inlineStr">
        <is>
          <t>2. Refresher Course &amp; Learning Materials</t>
        </is>
      </c>
    </row>
    <row r="48" outlineLevel="2">
      <c r="A48" s="18" t="inlineStr">
        <is>
          <t>3. Outreach, Partnerships &amp; Mobilization</t>
        </is>
      </c>
      <c r="B48" s="19" t="inlineStr">
        <is>
          <t>Sub-activity</t>
        </is>
      </c>
      <c r="C48" s="20">
        <f>SUMIFS('Line Items'!$F$3:$F$175,'Line Items'!$A$3:$A$175,$G48,'Line Items'!$B$3:$B$175,$H48,'Line Items'!$C$3:$C$175,$I48)</f>
        <v/>
      </c>
      <c r="D48" s="21">
        <f>C48/100000</f>
        <v/>
      </c>
      <c r="E48" s="22" t="n"/>
      <c r="G48" t="inlineStr">
        <is>
          <t>Post-emergency care</t>
        </is>
      </c>
      <c r="H48" t="inlineStr">
        <is>
          <t>First Responder Training</t>
        </is>
      </c>
      <c r="I48" t="inlineStr">
        <is>
          <t>3. Outreach, Partnerships &amp; Mobilization</t>
        </is>
      </c>
    </row>
    <row r="49" outlineLevel="2">
      <c r="A49" s="18" t="inlineStr">
        <is>
          <t>4. Certification, Recognition &amp; Incentives</t>
        </is>
      </c>
      <c r="B49" s="19" t="inlineStr">
        <is>
          <t>Sub-activity</t>
        </is>
      </c>
      <c r="C49" s="20">
        <f>SUMIFS('Line Items'!$F$3:$F$175,'Line Items'!$A$3:$A$175,$G49,'Line Items'!$B$3:$B$175,$H49,'Line Items'!$C$3:$C$175,$I49)</f>
        <v/>
      </c>
      <c r="D49" s="21">
        <f>C49/100000</f>
        <v/>
      </c>
      <c r="E49" s="22" t="n"/>
      <c r="G49" t="inlineStr">
        <is>
          <t>Post-emergency care</t>
        </is>
      </c>
      <c r="H49" t="inlineStr">
        <is>
          <t>First Responder Training</t>
        </is>
      </c>
      <c r="I49" t="inlineStr">
        <is>
          <t>4. Certification, Recognition &amp; Incentives</t>
        </is>
      </c>
    </row>
    <row r="50">
      <c r="A50" s="8" t="inlineStr">
        <is>
          <t>Education</t>
        </is>
      </c>
      <c r="B50" s="9" t="inlineStr">
        <is>
          <t>Vertical</t>
        </is>
      </c>
      <c r="C50" s="10">
        <f>SUMIF('Line Items'!$A$3:$A$175,$G50,'Line Items'!$F$3:$F$175)</f>
        <v/>
      </c>
      <c r="D50" s="11">
        <f>C50/100000</f>
        <v/>
      </c>
      <c r="E50" s="12">
        <f>C50/$C$3</f>
        <v/>
      </c>
      <c r="G50" t="inlineStr">
        <is>
          <t>Education</t>
        </is>
      </c>
    </row>
    <row r="51" outlineLevel="1">
      <c r="A51" s="13" t="inlineStr">
        <is>
          <t>Good Samaritan Award Show</t>
        </is>
      </c>
      <c r="B51" s="14" t="inlineStr">
        <is>
          <t>Activity</t>
        </is>
      </c>
      <c r="C51" s="15">
        <f>SUMIFS('Line Items'!$F$3:$F$175,'Line Items'!$A$3:$A$175,$G51,'Line Items'!$B$3:$B$175,$H51)</f>
        <v/>
      </c>
      <c r="D51" s="16">
        <f>C51/100000</f>
        <v/>
      </c>
      <c r="E51" s="17">
        <f>C51/$C$3</f>
        <v/>
      </c>
      <c r="G51" t="inlineStr">
        <is>
          <t>Education</t>
        </is>
      </c>
      <c r="H51" t="inlineStr">
        <is>
          <t>Good Samaritan Award Show</t>
        </is>
      </c>
    </row>
    <row r="52" outlineLevel="2">
      <c r="A52" s="18" t="inlineStr">
        <is>
          <t>1. Nomination &amp; Identification Process</t>
        </is>
      </c>
      <c r="B52" s="19" t="inlineStr">
        <is>
          <t>Sub-activity</t>
        </is>
      </c>
      <c r="C52" s="20">
        <f>SUMIFS('Line Items'!$F$3:$F$175,'Line Items'!$A$3:$A$175,$G52,'Line Items'!$B$3:$B$175,$H52,'Line Items'!$C$3:$C$175,$I52)</f>
        <v/>
      </c>
      <c r="D52" s="21">
        <f>C52/100000</f>
        <v/>
      </c>
      <c r="E52" s="22" t="n"/>
      <c r="G52" t="inlineStr">
        <is>
          <t>Education</t>
        </is>
      </c>
      <c r="H52" t="inlineStr">
        <is>
          <t>Good Samaritan Award Show</t>
        </is>
      </c>
      <c r="I52" t="inlineStr">
        <is>
          <t>1. Nomination &amp; Identification Process</t>
        </is>
      </c>
    </row>
    <row r="53" outlineLevel="2">
      <c r="A53" s="18" t="inlineStr">
        <is>
          <t>2. Award Show – Planning &amp; Execution</t>
        </is>
      </c>
      <c r="B53" s="19" t="inlineStr">
        <is>
          <t>Sub-activity</t>
        </is>
      </c>
      <c r="C53" s="20">
        <f>SUMIFS('Line Items'!$F$3:$F$175,'Line Items'!$A$3:$A$175,$G53,'Line Items'!$B$3:$B$175,$H53,'Line Items'!$C$3:$C$175,$I53)</f>
        <v/>
      </c>
      <c r="D53" s="21">
        <f>C53/100000</f>
        <v/>
      </c>
      <c r="E53" s="22" t="n"/>
      <c r="G53" t="inlineStr">
        <is>
          <t>Education</t>
        </is>
      </c>
      <c r="H53" t="inlineStr">
        <is>
          <t>Good Samaritan Award Show</t>
        </is>
      </c>
      <c r="I53" t="inlineStr">
        <is>
          <t>2. Award Show – Planning &amp; Execution</t>
        </is>
      </c>
    </row>
    <row r="54" outlineLevel="2">
      <c r="A54" s="18" t="inlineStr">
        <is>
          <t>3. Awards &amp; Recognition</t>
        </is>
      </c>
      <c r="B54" s="19" t="inlineStr">
        <is>
          <t>Sub-activity</t>
        </is>
      </c>
      <c r="C54" s="20">
        <f>SUMIFS('Line Items'!$F$3:$F$175,'Line Items'!$A$3:$A$175,$G54,'Line Items'!$B$3:$B$175,$H54,'Line Items'!$C$3:$C$175,$I54)</f>
        <v/>
      </c>
      <c r="D54" s="21">
        <f>C54/100000</f>
        <v/>
      </c>
      <c r="E54" s="22" t="n"/>
      <c r="G54" t="inlineStr">
        <is>
          <t>Education</t>
        </is>
      </c>
      <c r="H54" t="inlineStr">
        <is>
          <t>Good Samaritan Award Show</t>
        </is>
      </c>
      <c r="I54" t="inlineStr">
        <is>
          <t>3. Awards &amp; Recognition</t>
        </is>
      </c>
    </row>
    <row r="55" outlineLevel="2">
      <c r="A55" s="18" t="inlineStr">
        <is>
          <t>4. Communication &amp; Awareness</t>
        </is>
      </c>
      <c r="B55" s="19" t="inlineStr">
        <is>
          <t>Sub-activity</t>
        </is>
      </c>
      <c r="C55" s="20">
        <f>SUMIFS('Line Items'!$F$3:$F$175,'Line Items'!$A$3:$A$175,$G55,'Line Items'!$B$3:$B$175,$H55,'Line Items'!$C$3:$C$175,$I55)</f>
        <v/>
      </c>
      <c r="D55" s="21">
        <f>C55/100000</f>
        <v/>
      </c>
      <c r="E55" s="22" t="n"/>
      <c r="G55" t="inlineStr">
        <is>
          <t>Education</t>
        </is>
      </c>
      <c r="H55" t="inlineStr">
        <is>
          <t>Good Samaritan Award Show</t>
        </is>
      </c>
      <c r="I55" t="inlineStr">
        <is>
          <t>4. Communication &amp; Awareness</t>
        </is>
      </c>
    </row>
    <row r="56" outlineLevel="2">
      <c r="A56" s="18" t="inlineStr">
        <is>
          <t>5. Documentation &amp; Post-Event Outputs</t>
        </is>
      </c>
      <c r="B56" s="19" t="inlineStr">
        <is>
          <t>Sub-activity</t>
        </is>
      </c>
      <c r="C56" s="20">
        <f>SUMIFS('Line Items'!$F$3:$F$175,'Line Items'!$A$3:$A$175,$G56,'Line Items'!$B$3:$B$175,$H56,'Line Items'!$C$3:$C$175,$I56)</f>
        <v/>
      </c>
      <c r="D56" s="21">
        <f>C56/100000</f>
        <v/>
      </c>
      <c r="E56" s="22" t="n"/>
      <c r="G56" t="inlineStr">
        <is>
          <t>Education</t>
        </is>
      </c>
      <c r="H56" t="inlineStr">
        <is>
          <t>Good Samaritan Award Show</t>
        </is>
      </c>
      <c r="I56" t="inlineStr">
        <is>
          <t>5. Documentation &amp; Post-Event Outputs</t>
        </is>
      </c>
    </row>
    <row r="57" outlineLevel="1">
      <c r="A57" s="13" t="inlineStr">
        <is>
          <t>Safety is the new swag: A road safety awareness campaign by CARS24</t>
        </is>
      </c>
      <c r="B57" s="14" t="inlineStr">
        <is>
          <t>Activity</t>
        </is>
      </c>
      <c r="C57" s="15">
        <f>SUMIFS('Line Items'!$F$3:$F$175,'Line Items'!$A$3:$A$175,$G57,'Line Items'!$B$3:$B$175,$H57)</f>
        <v/>
      </c>
      <c r="D57" s="16">
        <f>C57/100000</f>
        <v/>
      </c>
      <c r="E57" s="17">
        <f>C57/$C$3</f>
        <v/>
      </c>
      <c r="G57" t="inlineStr">
        <is>
          <t>Education</t>
        </is>
      </c>
      <c r="H57" t="inlineStr">
        <is>
          <t>Safety is the new swag: A road safety awareness campaign by CARS24</t>
        </is>
      </c>
    </row>
    <row r="58" outlineLevel="2">
      <c r="A58" s="18" t="inlineStr">
        <is>
          <t>1. Media Advocacy</t>
        </is>
      </c>
      <c r="B58" s="19" t="inlineStr">
        <is>
          <t>Sub-activity</t>
        </is>
      </c>
      <c r="C58" s="20">
        <f>SUMIFS('Line Items'!$F$3:$F$175,'Line Items'!$A$3:$A$175,$G58,'Line Items'!$B$3:$B$175,$H58,'Line Items'!$C$3:$C$175,$I58)</f>
        <v/>
      </c>
      <c r="D58" s="21">
        <f>C58/100000</f>
        <v/>
      </c>
      <c r="E58" s="22" t="n"/>
      <c r="G58" t="inlineStr">
        <is>
          <t>Education</t>
        </is>
      </c>
      <c r="H58" t="inlineStr">
        <is>
          <t>Safety is the new swag: A road safety awareness campaign by CARS24</t>
        </is>
      </c>
      <c r="I58" t="inlineStr">
        <is>
          <t>1. Media Advocacy</t>
        </is>
      </c>
    </row>
    <row r="59" outlineLevel="2">
      <c r="A59" s="18" t="inlineStr">
        <is>
          <t>2. Digital Advocacy</t>
        </is>
      </c>
      <c r="B59" s="19" t="inlineStr">
        <is>
          <t>Sub-activity</t>
        </is>
      </c>
      <c r="C59" s="20">
        <f>SUMIFS('Line Items'!$F$3:$F$175,'Line Items'!$A$3:$A$175,$G59,'Line Items'!$B$3:$B$175,$H59,'Line Items'!$C$3:$C$175,$I59)</f>
        <v/>
      </c>
      <c r="D59" s="21">
        <f>C59/100000</f>
        <v/>
      </c>
      <c r="E59" s="22" t="n"/>
      <c r="G59" t="inlineStr">
        <is>
          <t>Education</t>
        </is>
      </c>
      <c r="H59" t="inlineStr">
        <is>
          <t>Safety is the new swag: A road safety awareness campaign by CARS24</t>
        </is>
      </c>
      <c r="I59" t="inlineStr">
        <is>
          <t>2. Digital Advocacy</t>
        </is>
      </c>
    </row>
    <row r="60" outlineLevel="2">
      <c r="A60" s="18" t="inlineStr">
        <is>
          <t>3. Offline Awareness</t>
        </is>
      </c>
      <c r="B60" s="19" t="inlineStr">
        <is>
          <t>Sub-activity</t>
        </is>
      </c>
      <c r="C60" s="20">
        <f>SUMIFS('Line Items'!$F$3:$F$175,'Line Items'!$A$3:$A$175,$G60,'Line Items'!$B$3:$B$175,$H60,'Line Items'!$C$3:$C$175,$I60)</f>
        <v/>
      </c>
      <c r="D60" s="21">
        <f>C60/100000</f>
        <v/>
      </c>
      <c r="E60" s="22" t="n"/>
      <c r="G60" t="inlineStr">
        <is>
          <t>Education</t>
        </is>
      </c>
      <c r="H60" t="inlineStr">
        <is>
          <t>Safety is the new swag: A road safety awareness campaign by CARS24</t>
        </is>
      </c>
      <c r="I60" t="inlineStr">
        <is>
          <t>3. Offline Awareness</t>
        </is>
      </c>
    </row>
    <row r="61" outlineLevel="2">
      <c r="A61" s="18" t="inlineStr">
        <is>
          <t>4. Community Mobilization</t>
        </is>
      </c>
      <c r="B61" s="19" t="inlineStr">
        <is>
          <t>Sub-activity</t>
        </is>
      </c>
      <c r="C61" s="20">
        <f>SUMIFS('Line Items'!$F$3:$F$175,'Line Items'!$A$3:$A$175,$G61,'Line Items'!$B$3:$B$175,$H61,'Line Items'!$C$3:$C$175,$I61)</f>
        <v/>
      </c>
      <c r="D61" s="21">
        <f>C61/100000</f>
        <v/>
      </c>
      <c r="E61" s="22" t="n"/>
      <c r="G61" t="inlineStr">
        <is>
          <t>Education</t>
        </is>
      </c>
      <c r="H61" t="inlineStr">
        <is>
          <t>Safety is the new swag: A road safety awareness campaign by CARS24</t>
        </is>
      </c>
      <c r="I61" t="inlineStr">
        <is>
          <t>4. Community Mobilization</t>
        </is>
      </c>
    </row>
    <row r="62">
      <c r="A62" s="8" t="inlineStr">
        <is>
          <t>Enabler - Research, Innovation and Community Mobilization</t>
        </is>
      </c>
      <c r="B62" s="9" t="inlineStr">
        <is>
          <t>Vertical</t>
        </is>
      </c>
      <c r="C62" s="10">
        <f>SUMIF('Line Items'!$A$3:$A$175,$G62,'Line Items'!$F$3:$F$175)</f>
        <v/>
      </c>
      <c r="D62" s="11">
        <f>C62/100000</f>
        <v/>
      </c>
      <c r="E62" s="12">
        <f>C62/$C$3</f>
        <v/>
      </c>
      <c r="G62" t="inlineStr">
        <is>
          <t>Enabler - Research, Innovation and Community Mobilization</t>
        </is>
      </c>
    </row>
    <row r="63" outlineLevel="1">
      <c r="A63" s="13" t="inlineStr">
        <is>
          <t>Road Safety Expo &amp; Startup Showcase</t>
        </is>
      </c>
      <c r="B63" s="14" t="inlineStr">
        <is>
          <t>Activity</t>
        </is>
      </c>
      <c r="C63" s="15">
        <f>SUMIFS('Line Items'!$F$3:$F$175,'Line Items'!$A$3:$A$175,$G63,'Line Items'!$B$3:$B$175,$H63)</f>
        <v/>
      </c>
      <c r="D63" s="16">
        <f>C63/100000</f>
        <v/>
      </c>
      <c r="E63" s="17">
        <f>C63/$C$3</f>
        <v/>
      </c>
      <c r="G63" t="inlineStr">
        <is>
          <t>Enabler - Research, Innovation and Community Mobilization</t>
        </is>
      </c>
      <c r="H63" t="inlineStr">
        <is>
          <t>Road Safety Expo &amp; Startup Showcase</t>
        </is>
      </c>
    </row>
    <row r="64" outlineLevel="2">
      <c r="A64" s="18" t="inlineStr">
        <is>
          <t>1. Event Planning &amp; Venue Management</t>
        </is>
      </c>
      <c r="B64" s="19" t="inlineStr">
        <is>
          <t>Sub-activity</t>
        </is>
      </c>
      <c r="C64" s="20">
        <f>SUMIFS('Line Items'!$F$3:$F$175,'Line Items'!$A$3:$A$175,$G64,'Line Items'!$B$3:$B$175,$H64,'Line Items'!$C$3:$C$175,$I64)</f>
        <v/>
      </c>
      <c r="D64" s="21">
        <f>C64/100000</f>
        <v/>
      </c>
      <c r="E64" s="22" t="n"/>
      <c r="G64" t="inlineStr">
        <is>
          <t>Enabler - Research, Innovation and Community Mobilization</t>
        </is>
      </c>
      <c r="H64" t="inlineStr">
        <is>
          <t>Road Safety Expo &amp; Startup Showcase</t>
        </is>
      </c>
      <c r="I64" t="inlineStr">
        <is>
          <t>1. Event Planning &amp; Venue Management</t>
        </is>
      </c>
    </row>
    <row r="65" outlineLevel="2">
      <c r="A65" s="18" t="inlineStr">
        <is>
          <t>2. Startup Curation &amp; Investment</t>
        </is>
      </c>
      <c r="B65" s="19" t="inlineStr">
        <is>
          <t>Sub-activity</t>
        </is>
      </c>
      <c r="C65" s="20">
        <f>SUMIFS('Line Items'!$F$3:$F$175,'Line Items'!$A$3:$A$175,$G65,'Line Items'!$B$3:$B$175,$H65,'Line Items'!$C$3:$C$175,$I65)</f>
        <v/>
      </c>
      <c r="D65" s="21">
        <f>C65/100000</f>
        <v/>
      </c>
      <c r="E65" s="22" t="n"/>
      <c r="G65" t="inlineStr">
        <is>
          <t>Enabler - Research, Innovation and Community Mobilization</t>
        </is>
      </c>
      <c r="H65" t="inlineStr">
        <is>
          <t>Road Safety Expo &amp; Startup Showcase</t>
        </is>
      </c>
      <c r="I65" t="inlineStr">
        <is>
          <t>2. Startup Curation &amp; Investment</t>
        </is>
      </c>
    </row>
    <row r="66" outlineLevel="2">
      <c r="A66" s="18" t="inlineStr">
        <is>
          <t>3. Marketing &amp; Outreach</t>
        </is>
      </c>
      <c r="B66" s="19" t="inlineStr">
        <is>
          <t>Sub-activity</t>
        </is>
      </c>
      <c r="C66" s="20">
        <f>SUMIFS('Line Items'!$F$3:$F$175,'Line Items'!$A$3:$A$175,$G66,'Line Items'!$B$3:$B$175,$H66,'Line Items'!$C$3:$C$175,$I66)</f>
        <v/>
      </c>
      <c r="D66" s="21">
        <f>C66/100000</f>
        <v/>
      </c>
      <c r="E66" s="22" t="n"/>
      <c r="G66" t="inlineStr">
        <is>
          <t>Enabler - Research, Innovation and Community Mobilization</t>
        </is>
      </c>
      <c r="H66" t="inlineStr">
        <is>
          <t>Road Safety Expo &amp; Startup Showcase</t>
        </is>
      </c>
      <c r="I66" t="inlineStr">
        <is>
          <t>3. Marketing &amp; Outreach</t>
        </is>
      </c>
    </row>
    <row r="67" outlineLevel="2">
      <c r="A67" s="18" t="inlineStr">
        <is>
          <t>4. Conference Programming</t>
        </is>
      </c>
      <c r="B67" s="19" t="inlineStr">
        <is>
          <t>Sub-activity</t>
        </is>
      </c>
      <c r="C67" s="20">
        <f>SUMIFS('Line Items'!$F$3:$F$175,'Line Items'!$A$3:$A$175,$G67,'Line Items'!$B$3:$B$175,$H67,'Line Items'!$C$3:$C$175,$I67)</f>
        <v/>
      </c>
      <c r="D67" s="21">
        <f>C67/100000</f>
        <v/>
      </c>
      <c r="E67" s="22" t="n"/>
      <c r="G67" t="inlineStr">
        <is>
          <t>Enabler - Research, Innovation and Community Mobilization</t>
        </is>
      </c>
      <c r="H67" t="inlineStr">
        <is>
          <t>Road Safety Expo &amp; Startup Showcase</t>
        </is>
      </c>
      <c r="I67" t="inlineStr">
        <is>
          <t>4. Conference Programming</t>
        </is>
      </c>
    </row>
    <row r="68" outlineLevel="2">
      <c r="A68" s="18" t="inlineStr">
        <is>
          <t>6. Documentation &amp; Media</t>
        </is>
      </c>
      <c r="B68" s="19" t="inlineStr">
        <is>
          <t>Sub-activity</t>
        </is>
      </c>
      <c r="C68" s="20">
        <f>SUMIFS('Line Items'!$F$3:$F$175,'Line Items'!$A$3:$A$175,$G68,'Line Items'!$B$3:$B$175,$H68,'Line Items'!$C$3:$C$175,$I68)</f>
        <v/>
      </c>
      <c r="D68" s="21">
        <f>C68/100000</f>
        <v/>
      </c>
      <c r="E68" s="22" t="n"/>
      <c r="G68" t="inlineStr">
        <is>
          <t>Enabler - Research, Innovation and Community Mobilization</t>
        </is>
      </c>
      <c r="H68" t="inlineStr">
        <is>
          <t>Road Safety Expo &amp; Startup Showcase</t>
        </is>
      </c>
      <c r="I68" t="inlineStr">
        <is>
          <t>6. Documentation &amp; Media</t>
        </is>
      </c>
    </row>
    <row r="69" outlineLevel="2">
      <c r="A69" s="18" t="inlineStr">
        <is>
          <t>7. Staffing &amp; Coordination</t>
        </is>
      </c>
      <c r="B69" s="19" t="inlineStr">
        <is>
          <t>Sub-activity</t>
        </is>
      </c>
      <c r="C69" s="20">
        <f>SUMIFS('Line Items'!$F$3:$F$175,'Line Items'!$A$3:$A$175,$G69,'Line Items'!$B$3:$B$175,$H69,'Line Items'!$C$3:$C$175,$I69)</f>
        <v/>
      </c>
      <c r="D69" s="21">
        <f>C69/100000</f>
        <v/>
      </c>
      <c r="E69" s="22" t="n"/>
      <c r="G69" t="inlineStr">
        <is>
          <t>Enabler - Research, Innovation and Community Mobilization</t>
        </is>
      </c>
      <c r="H69" t="inlineStr">
        <is>
          <t>Road Safety Expo &amp; Startup Showcase</t>
        </is>
      </c>
      <c r="I69" t="inlineStr">
        <is>
          <t>7. Staffing &amp; Coordination</t>
        </is>
      </c>
    </row>
    <row r="70" outlineLevel="1">
      <c r="A70" s="13" t="inlineStr">
        <is>
          <t>Road safety studies and publications</t>
        </is>
      </c>
      <c r="B70" s="14" t="inlineStr">
        <is>
          <t>Activity</t>
        </is>
      </c>
      <c r="C70" s="15">
        <f>SUMIFS('Line Items'!$F$3:$F$175,'Line Items'!$A$3:$A$175,$G70,'Line Items'!$B$3:$B$175,$H70)</f>
        <v/>
      </c>
      <c r="D70" s="16">
        <f>C70/100000</f>
        <v/>
      </c>
      <c r="E70" s="17">
        <f>C70/$C$3</f>
        <v/>
      </c>
      <c r="G70" t="inlineStr">
        <is>
          <t>Enabler - Research, Innovation and Community Mobilization</t>
        </is>
      </c>
      <c r="H70" t="inlineStr">
        <is>
          <t>Road safety studies and publications</t>
        </is>
      </c>
    </row>
    <row r="71" outlineLevel="2">
      <c r="A71" s="18" t="inlineStr">
        <is>
          <t>1. Ambulance State Study – NCR</t>
        </is>
      </c>
      <c r="B71" s="19" t="inlineStr">
        <is>
          <t>Sub-activity</t>
        </is>
      </c>
      <c r="C71" s="20">
        <f>SUMIFS('Line Items'!$F$3:$F$175,'Line Items'!$A$3:$A$175,$G71,'Line Items'!$B$3:$B$175,$H71,'Line Items'!$C$3:$C$175,$I71)</f>
        <v/>
      </c>
      <c r="D71" s="21">
        <f>C71/100000</f>
        <v/>
      </c>
      <c r="E71" s="22" t="n"/>
      <c r="G71" t="inlineStr">
        <is>
          <t>Enabler - Research, Innovation and Community Mobilization</t>
        </is>
      </c>
      <c r="H71" t="inlineStr">
        <is>
          <t>Road safety studies and publications</t>
        </is>
      </c>
      <c r="I71" t="inlineStr">
        <is>
          <t>1. Ambulance State Study – NCR</t>
        </is>
      </c>
    </row>
    <row r="72" outlineLevel="2">
      <c r="A72" s="18" t="inlineStr">
        <is>
          <t>2. CARS24 Challan Data Study – Driving Behavior Mapping</t>
        </is>
      </c>
      <c r="B72" s="19" t="inlineStr">
        <is>
          <t>Sub-activity</t>
        </is>
      </c>
      <c r="C72" s="20">
        <f>SUMIFS('Line Items'!$F$3:$F$175,'Line Items'!$A$3:$A$175,$G72,'Line Items'!$B$3:$B$175,$H72,'Line Items'!$C$3:$C$175,$I72)</f>
        <v/>
      </c>
      <c r="D72" s="21">
        <f>C72/100000</f>
        <v/>
      </c>
      <c r="E72" s="22" t="n"/>
      <c r="G72" t="inlineStr">
        <is>
          <t>Enabler - Research, Innovation and Community Mobilization</t>
        </is>
      </c>
      <c r="H72" t="inlineStr">
        <is>
          <t>Road safety studies and publications</t>
        </is>
      </c>
      <c r="I72" t="inlineStr">
        <is>
          <t>2. CARS24 Challan Data Study – Driving Behavior Mapping</t>
        </is>
      </c>
    </row>
    <row r="73" outlineLevel="2">
      <c r="A73" s="18" t="inlineStr">
        <is>
          <t>3. Study on Cashless Treatment &amp; Compensation (Delhi NCR)</t>
        </is>
      </c>
      <c r="B73" s="19" t="inlineStr">
        <is>
          <t>Sub-activity</t>
        </is>
      </c>
      <c r="C73" s="20">
        <f>SUMIFS('Line Items'!$F$3:$F$175,'Line Items'!$A$3:$A$175,$G73,'Line Items'!$B$3:$B$175,$H73,'Line Items'!$C$3:$C$175,$I73)</f>
        <v/>
      </c>
      <c r="D73" s="21">
        <f>C73/100000</f>
        <v/>
      </c>
      <c r="E73" s="22" t="n"/>
      <c r="G73" t="inlineStr">
        <is>
          <t>Enabler - Research, Innovation and Community Mobilization</t>
        </is>
      </c>
      <c r="H73" t="inlineStr">
        <is>
          <t>Road safety studies and publications</t>
        </is>
      </c>
      <c r="I73" t="inlineStr">
        <is>
          <t>3. Study on Cashless Treatment &amp; Compensation (Delhi NCR)</t>
        </is>
      </c>
    </row>
    <row r="74" outlineLevel="2">
      <c r="A74" s="18" t="inlineStr">
        <is>
          <t>4. Marketing and outreach</t>
        </is>
      </c>
      <c r="B74" s="19" t="inlineStr">
        <is>
          <t>Sub-activity</t>
        </is>
      </c>
      <c r="C74" s="20">
        <f>SUMIFS('Line Items'!$F$3:$F$175,'Line Items'!$A$3:$A$175,$G74,'Line Items'!$B$3:$B$175,$H74,'Line Items'!$C$3:$C$175,$I74)</f>
        <v/>
      </c>
      <c r="D74" s="21">
        <f>C74/100000</f>
        <v/>
      </c>
      <c r="E74" s="22" t="n"/>
      <c r="G74" t="inlineStr">
        <is>
          <t>Enabler - Research, Innovation and Community Mobilization</t>
        </is>
      </c>
      <c r="H74" t="inlineStr">
        <is>
          <t>Road safety studies and publications</t>
        </is>
      </c>
      <c r="I74" t="inlineStr">
        <is>
          <t>4. Marketing and outreach</t>
        </is>
      </c>
    </row>
    <row r="75" outlineLevel="1">
      <c r="A75" s="13" t="inlineStr">
        <is>
          <t>Safer Mobility Impact Fellowship</t>
        </is>
      </c>
      <c r="B75" s="14" t="inlineStr">
        <is>
          <t>Activity</t>
        </is>
      </c>
      <c r="C75" s="15">
        <f>SUMIFS('Line Items'!$F$3:$F$175,'Line Items'!$A$3:$A$175,$G75,'Line Items'!$B$3:$B$175,$H75)</f>
        <v/>
      </c>
      <c r="D75" s="16">
        <f>C75/100000</f>
        <v/>
      </c>
      <c r="E75" s="17">
        <f>C75/$C$3</f>
        <v/>
      </c>
      <c r="G75" t="inlineStr">
        <is>
          <t>Enabler - Research, Innovation and Community Mobilization</t>
        </is>
      </c>
      <c r="H75" t="inlineStr">
        <is>
          <t>Safer Mobility Impact Fellowship</t>
        </is>
      </c>
    </row>
    <row r="76" outlineLevel="2">
      <c r="A76" s="18" t="inlineStr">
        <is>
          <t>1. Fellowship allowance</t>
        </is>
      </c>
      <c r="B76" s="19" t="inlineStr">
        <is>
          <t>Sub-activity</t>
        </is>
      </c>
      <c r="C76" s="20">
        <f>SUMIFS('Line Items'!$F$3:$F$175,'Line Items'!$A$3:$A$175,$G76,'Line Items'!$B$3:$B$175,$H76,'Line Items'!$C$3:$C$175,$I76)</f>
        <v/>
      </c>
      <c r="D76" s="21">
        <f>C76/100000</f>
        <v/>
      </c>
      <c r="E76" s="22" t="n"/>
      <c r="G76" t="inlineStr">
        <is>
          <t>Enabler - Research, Innovation and Community Mobilization</t>
        </is>
      </c>
      <c r="H76" t="inlineStr">
        <is>
          <t>Safer Mobility Impact Fellowship</t>
        </is>
      </c>
      <c r="I76" t="inlineStr">
        <is>
          <t>1. Fellowship allowance</t>
        </is>
      </c>
    </row>
    <row r="77">
      <c r="A77" s="8" t="inlineStr">
        <is>
          <t>Trust Admin</t>
        </is>
      </c>
      <c r="B77" s="9" t="inlineStr">
        <is>
          <t>Vertical</t>
        </is>
      </c>
      <c r="C77" s="10">
        <f>SUMIF('Line Items'!$A$3:$A$175,$G77,'Line Items'!$F$3:$F$175)</f>
        <v/>
      </c>
      <c r="D77" s="11">
        <f>C77/100000</f>
        <v/>
      </c>
      <c r="E77" s="12">
        <f>C77/$C$3</f>
        <v/>
      </c>
      <c r="G77" t="inlineStr">
        <is>
          <t>Trust Admin</t>
        </is>
      </c>
    </row>
    <row r="78" outlineLevel="1">
      <c r="A78" s="13" t="inlineStr">
        <is>
          <t>Intervention audit</t>
        </is>
      </c>
      <c r="B78" s="14" t="inlineStr">
        <is>
          <t>Activity</t>
        </is>
      </c>
      <c r="C78" s="15">
        <f>SUMIFS('Line Items'!$F$3:$F$175,'Line Items'!$A$3:$A$175,$G78,'Line Items'!$B$3:$B$175,$H78)</f>
        <v/>
      </c>
      <c r="D78" s="16">
        <f>C78/100000</f>
        <v/>
      </c>
      <c r="E78" s="17">
        <f>C78/$C$3</f>
        <v/>
      </c>
      <c r="G78" t="inlineStr">
        <is>
          <t>Trust Admin</t>
        </is>
      </c>
      <c r="H78" t="inlineStr">
        <is>
          <t>Intervention audit</t>
        </is>
      </c>
    </row>
    <row r="79" outlineLevel="2">
      <c r="A79" s="18" t="inlineStr">
        <is>
          <t>Impact audit of interventions, impact measurement, Monitoring and Evaluation</t>
        </is>
      </c>
      <c r="B79" s="19" t="inlineStr">
        <is>
          <t>Sub-activity</t>
        </is>
      </c>
      <c r="C79" s="20">
        <f>SUMIFS('Line Items'!$F$3:$F$175,'Line Items'!$A$3:$A$175,$G79,'Line Items'!$B$3:$B$175,$H79,'Line Items'!$C$3:$C$175,$I79)</f>
        <v/>
      </c>
      <c r="D79" s="21">
        <f>C79/100000</f>
        <v/>
      </c>
      <c r="E79" s="22" t="n"/>
      <c r="G79" t="inlineStr">
        <is>
          <t>Trust Admin</t>
        </is>
      </c>
      <c r="H79" t="inlineStr">
        <is>
          <t>Intervention audit</t>
        </is>
      </c>
      <c r="I79" t="inlineStr">
        <is>
          <t>Impact audit of interventions, impact measurement, Monitoring and Evaluation</t>
        </is>
      </c>
    </row>
    <row r="80" outlineLevel="1">
      <c r="A80" s="13" t="inlineStr">
        <is>
          <t>Website Development &amp; Hosting</t>
        </is>
      </c>
      <c r="B80" s="14" t="inlineStr">
        <is>
          <t>Activity</t>
        </is>
      </c>
      <c r="C80" s="15">
        <f>SUMIFS('Line Items'!$F$3:$F$175,'Line Items'!$A$3:$A$175,$G80,'Line Items'!$B$3:$B$175,$H80)</f>
        <v/>
      </c>
      <c r="D80" s="16">
        <f>C80/100000</f>
        <v/>
      </c>
      <c r="E80" s="17">
        <f>C80/$C$3</f>
        <v/>
      </c>
      <c r="G80" t="inlineStr">
        <is>
          <t>Trust Admin</t>
        </is>
      </c>
      <c r="H80" t="inlineStr">
        <is>
          <t>Website Development &amp; Hosting</t>
        </is>
      </c>
    </row>
    <row r="81" outlineLevel="2">
      <c r="A81" s="18" t="inlineStr">
        <is>
          <t>Domain. Email Setup and Maintenance, Cloud storage, domain</t>
        </is>
      </c>
      <c r="B81" s="19" t="inlineStr">
        <is>
          <t>Sub-activity</t>
        </is>
      </c>
      <c r="C81" s="20">
        <f>SUMIFS('Line Items'!$F$3:$F$175,'Line Items'!$A$3:$A$175,$G81,'Line Items'!$B$3:$B$175,$H81,'Line Items'!$C$3:$C$175,$I81)</f>
        <v/>
      </c>
      <c r="D81" s="21">
        <f>C81/100000</f>
        <v/>
      </c>
      <c r="E81" s="22" t="n"/>
      <c r="G81" t="inlineStr">
        <is>
          <t>Trust Admin</t>
        </is>
      </c>
      <c r="H81" t="inlineStr">
        <is>
          <t>Website Development &amp; Hosting</t>
        </is>
      </c>
      <c r="I81" t="inlineStr">
        <is>
          <t>Domain. Email Setup and Maintenance, Cloud storage, domain</t>
        </is>
      </c>
    </row>
    <row r="82" outlineLevel="1">
      <c r="A82" s="13" t="inlineStr">
        <is>
          <t>Branding &amp; Outreach</t>
        </is>
      </c>
      <c r="B82" s="14" t="inlineStr">
        <is>
          <t>Activity</t>
        </is>
      </c>
      <c r="C82" s="15">
        <f>SUMIFS('Line Items'!$F$3:$F$175,'Line Items'!$A$3:$A$175,$G82,'Line Items'!$B$3:$B$175,$H82)</f>
        <v/>
      </c>
      <c r="D82" s="16">
        <f>C82/100000</f>
        <v/>
      </c>
      <c r="E82" s="17">
        <f>C82/$C$3</f>
        <v/>
      </c>
      <c r="G82" t="inlineStr">
        <is>
          <t>Trust Admin</t>
        </is>
      </c>
      <c r="H82" t="inlineStr">
        <is>
          <t>Branding &amp; Outreach</t>
        </is>
      </c>
    </row>
    <row r="83" outlineLevel="2">
      <c r="A83" s="18" t="inlineStr">
        <is>
          <t>Branding Kit design, Social Media &amp; Digital Marketing, Content writing</t>
        </is>
      </c>
      <c r="B83" s="19" t="inlineStr">
        <is>
          <t>Sub-activity</t>
        </is>
      </c>
      <c r="C83" s="20">
        <f>SUMIFS('Line Items'!$F$3:$F$175,'Line Items'!$A$3:$A$175,$G83,'Line Items'!$B$3:$B$175,$H83,'Line Items'!$C$3:$C$175,$I83)</f>
        <v/>
      </c>
      <c r="D83" s="21">
        <f>C83/100000</f>
        <v/>
      </c>
      <c r="E83" s="22" t="n"/>
      <c r="G83" t="inlineStr">
        <is>
          <t>Trust Admin</t>
        </is>
      </c>
      <c r="H83" t="inlineStr">
        <is>
          <t>Branding &amp; Outreach</t>
        </is>
      </c>
      <c r="I83" t="inlineStr">
        <is>
          <t>Branding Kit design, Social Media &amp; Digital Marketing, Content writing</t>
        </is>
      </c>
    </row>
    <row r="84" outlineLevel="1">
      <c r="A84" s="13" t="inlineStr">
        <is>
          <t>Marketing material</t>
        </is>
      </c>
      <c r="B84" s="14" t="inlineStr">
        <is>
          <t>Activity</t>
        </is>
      </c>
      <c r="C84" s="15">
        <f>SUMIFS('Line Items'!$F$3:$F$175,'Line Items'!$A$3:$A$175,$G84,'Line Items'!$B$3:$B$175,$H84)</f>
        <v/>
      </c>
      <c r="D84" s="16">
        <f>C84/100000</f>
        <v/>
      </c>
      <c r="E84" s="17">
        <f>C84/$C$3</f>
        <v/>
      </c>
      <c r="G84" t="inlineStr">
        <is>
          <t>Trust Admin</t>
        </is>
      </c>
      <c r="H84" t="inlineStr">
        <is>
          <t>Marketing material</t>
        </is>
      </c>
    </row>
    <row r="85" outlineLevel="2">
      <c r="A85" s="18" t="inlineStr">
        <is>
          <t>Brochure &amp; Marketing Materials, Merchandise &amp; Promotional Items</t>
        </is>
      </c>
      <c r="B85" s="19" t="inlineStr">
        <is>
          <t>Sub-activity</t>
        </is>
      </c>
      <c r="C85" s="20">
        <f>SUMIFS('Line Items'!$F$3:$F$175,'Line Items'!$A$3:$A$175,$G85,'Line Items'!$B$3:$B$175,$H85,'Line Items'!$C$3:$C$175,$I85)</f>
        <v/>
      </c>
      <c r="D85" s="21">
        <f>C85/100000</f>
        <v/>
      </c>
      <c r="E85" s="22" t="n"/>
      <c r="G85" t="inlineStr">
        <is>
          <t>Trust Admin</t>
        </is>
      </c>
      <c r="H85" t="inlineStr">
        <is>
          <t>Marketing material</t>
        </is>
      </c>
      <c r="I85" t="inlineStr">
        <is>
          <t>Brochure &amp; Marketing Materials, Merchandise &amp; Promotional Items</t>
        </is>
      </c>
    </row>
    <row r="86" outlineLevel="1">
      <c r="A86" s="13" t="inlineStr">
        <is>
          <t>Travel &amp; Networking</t>
        </is>
      </c>
      <c r="B86" s="14" t="inlineStr">
        <is>
          <t>Activity</t>
        </is>
      </c>
      <c r="C86" s="15">
        <f>SUMIFS('Line Items'!$F$3:$F$175,'Line Items'!$A$3:$A$175,$G86,'Line Items'!$B$3:$B$175,$H86)</f>
        <v/>
      </c>
      <c r="D86" s="16">
        <f>C86/100000</f>
        <v/>
      </c>
      <c r="E86" s="17">
        <f>C86/$C$3</f>
        <v/>
      </c>
      <c r="G86" t="inlineStr">
        <is>
          <t>Trust Admin</t>
        </is>
      </c>
      <c r="H86" t="inlineStr">
        <is>
          <t>Travel &amp; Networking</t>
        </is>
      </c>
    </row>
    <row r="87" outlineLevel="2">
      <c r="A87" s="18" t="inlineStr">
        <is>
          <t>Travel Meetings and Networking Events</t>
        </is>
      </c>
      <c r="B87" s="19" t="inlineStr">
        <is>
          <t>Sub-activity</t>
        </is>
      </c>
      <c r="C87" s="20">
        <f>SUMIFS('Line Items'!$F$3:$F$175,'Line Items'!$A$3:$A$175,$G87,'Line Items'!$B$3:$B$175,$H87,'Line Items'!$C$3:$C$175,$I87)</f>
        <v/>
      </c>
      <c r="D87" s="21">
        <f>C87/100000</f>
        <v/>
      </c>
      <c r="E87" s="22" t="n"/>
      <c r="G87" t="inlineStr">
        <is>
          <t>Trust Admin</t>
        </is>
      </c>
      <c r="H87" t="inlineStr">
        <is>
          <t>Travel &amp; Networking</t>
        </is>
      </c>
      <c r="I87" t="inlineStr">
        <is>
          <t>Travel Meetings and Networking Events</t>
        </is>
      </c>
    </row>
    <row r="88" outlineLevel="1">
      <c r="A88" s="13" t="inlineStr">
        <is>
          <t>Salaries &amp; Benefits</t>
        </is>
      </c>
      <c r="B88" s="14" t="inlineStr">
        <is>
          <t>Activity</t>
        </is>
      </c>
      <c r="C88" s="15">
        <f>SUMIFS('Line Items'!$F$3:$F$175,'Line Items'!$A$3:$A$175,$G88,'Line Items'!$B$3:$B$175,$H88)</f>
        <v/>
      </c>
      <c r="D88" s="16">
        <f>C88/100000</f>
        <v/>
      </c>
      <c r="E88" s="17">
        <f>C88/$C$3</f>
        <v/>
      </c>
      <c r="G88" t="inlineStr">
        <is>
          <t>Trust Admin</t>
        </is>
      </c>
      <c r="H88" t="inlineStr">
        <is>
          <t>Salaries &amp; Benefits</t>
        </is>
      </c>
    </row>
    <row r="89" outlineLevel="2">
      <c r="A89" s="18" t="inlineStr">
        <is>
          <t>Initial staff hiring [2 Associates + 8-10 staff interns]</t>
        </is>
      </c>
      <c r="B89" s="19" t="inlineStr">
        <is>
          <t>Sub-activity</t>
        </is>
      </c>
      <c r="C89" s="20">
        <f>SUMIFS('Line Items'!$F$3:$F$175,'Line Items'!$A$3:$A$175,$G89,'Line Items'!$B$3:$B$175,$H89,'Line Items'!$C$3:$C$175,$I89)</f>
        <v/>
      </c>
      <c r="D89" s="21">
        <f>C89/100000</f>
        <v/>
      </c>
      <c r="E89" s="22" t="n"/>
      <c r="G89" t="inlineStr">
        <is>
          <t>Trust Admin</t>
        </is>
      </c>
      <c r="H89" t="inlineStr">
        <is>
          <t>Salaries &amp; Benefits</t>
        </is>
      </c>
      <c r="I89" t="inlineStr">
        <is>
          <t>Initial staff hiring [2 Associates + 8-10 staff interns]</t>
        </is>
      </c>
    </row>
    <row r="90" outlineLevel="1">
      <c r="A90" s="13" t="inlineStr">
        <is>
          <t>Reporting and Compliance</t>
        </is>
      </c>
      <c r="B90" s="14" t="inlineStr">
        <is>
          <t>Activity</t>
        </is>
      </c>
      <c r="C90" s="15">
        <f>SUMIFS('Line Items'!$F$3:$F$175,'Line Items'!$A$3:$A$175,$G90,'Line Items'!$B$3:$B$175,$H90)</f>
        <v/>
      </c>
      <c r="D90" s="16">
        <f>C90/100000</f>
        <v/>
      </c>
      <c r="E90" s="17">
        <f>C90/$C$3</f>
        <v/>
      </c>
      <c r="G90" t="inlineStr">
        <is>
          <t>Trust Admin</t>
        </is>
      </c>
      <c r="H90" t="inlineStr">
        <is>
          <t>Reporting and Compliance</t>
        </is>
      </c>
    </row>
    <row r="91" outlineLevel="2">
      <c r="A91" s="18" t="inlineStr">
        <is>
          <t>Legal Reporting and Financial compliances</t>
        </is>
      </c>
      <c r="B91" s="19" t="inlineStr">
        <is>
          <t>Sub-activity</t>
        </is>
      </c>
      <c r="C91" s="20">
        <f>SUMIFS('Line Items'!$F$3:$F$175,'Line Items'!$A$3:$A$175,$G91,'Line Items'!$B$3:$B$175,$H91,'Line Items'!$C$3:$C$175,$I91)</f>
        <v/>
      </c>
      <c r="D91" s="21">
        <f>C91/100000</f>
        <v/>
      </c>
      <c r="E91" s="22" t="n"/>
      <c r="G91" t="inlineStr">
        <is>
          <t>Trust Admin</t>
        </is>
      </c>
      <c r="H91" t="inlineStr">
        <is>
          <t>Reporting and Compliance</t>
        </is>
      </c>
      <c r="I91" t="inlineStr">
        <is>
          <t>Legal Reporting and Financial compliances</t>
        </is>
      </c>
    </row>
    <row r="92" outlineLevel="1">
      <c r="A92" s="13" t="inlineStr">
        <is>
          <t>Capacity Building and Consultation</t>
        </is>
      </c>
      <c r="B92" s="14" t="inlineStr">
        <is>
          <t>Activity</t>
        </is>
      </c>
      <c r="C92" s="15">
        <f>SUMIFS('Line Items'!$F$3:$F$175,'Line Items'!$A$3:$A$175,$G92,'Line Items'!$B$3:$B$175,$H92)</f>
        <v/>
      </c>
      <c r="D92" s="16">
        <f>C92/100000</f>
        <v/>
      </c>
      <c r="E92" s="17">
        <f>C92/$C$3</f>
        <v/>
      </c>
      <c r="G92" t="inlineStr">
        <is>
          <t>Trust Admin</t>
        </is>
      </c>
      <c r="H92" t="inlineStr">
        <is>
          <t>Capacity Building and Consultation</t>
        </is>
      </c>
    </row>
    <row r="93" outlineLevel="2">
      <c r="A93" s="18" t="inlineStr">
        <is>
          <t>Expert, Leadership and Consultation Fees</t>
        </is>
      </c>
      <c r="B93" s="19" t="inlineStr">
        <is>
          <t>Sub-activity</t>
        </is>
      </c>
      <c r="C93" s="20">
        <f>SUMIFS('Line Items'!$F$3:$F$175,'Line Items'!$A$3:$A$175,$G93,'Line Items'!$B$3:$B$175,$H93,'Line Items'!$C$3:$C$175,$I93)</f>
        <v/>
      </c>
      <c r="D93" s="21">
        <f>C93/100000</f>
        <v/>
      </c>
      <c r="E93" s="22" t="n"/>
      <c r="G93" t="inlineStr">
        <is>
          <t>Trust Admin</t>
        </is>
      </c>
      <c r="H93" t="inlineStr">
        <is>
          <t>Capacity Building and Consultation</t>
        </is>
      </c>
      <c r="I93" t="inlineStr">
        <is>
          <t>Expert, Leadership and Consultation Fees</t>
        </is>
      </c>
    </row>
    <row r="94" outlineLevel="1">
      <c r="A94" s="13" t="inlineStr">
        <is>
          <t>IT hardware cost</t>
        </is>
      </c>
      <c r="B94" s="14" t="inlineStr">
        <is>
          <t>Activity</t>
        </is>
      </c>
      <c r="C94" s="15">
        <f>SUMIFS('Line Items'!$F$3:$F$175,'Line Items'!$A$3:$A$175,$G94,'Line Items'!$B$3:$B$175,$H94)</f>
        <v/>
      </c>
      <c r="D94" s="16">
        <f>C94/100000</f>
        <v/>
      </c>
      <c r="E94" s="17">
        <f>C94/$C$3</f>
        <v/>
      </c>
      <c r="G94" t="inlineStr">
        <is>
          <t>Trust Admin</t>
        </is>
      </c>
      <c r="H94" t="inlineStr">
        <is>
          <t>IT hardware cost</t>
        </is>
      </c>
    </row>
    <row r="95" outlineLevel="2">
      <c r="A95" s="18" t="inlineStr">
        <is>
          <t>IT hardware cost</t>
        </is>
      </c>
      <c r="B95" s="19" t="inlineStr">
        <is>
          <t>Sub-activity</t>
        </is>
      </c>
      <c r="C95" s="20">
        <f>SUMIFS('Line Items'!$F$3:$F$175,'Line Items'!$A$3:$A$175,$G95,'Line Items'!$B$3:$B$175,$H95,'Line Items'!$C$3:$C$175,$I95)</f>
        <v/>
      </c>
      <c r="D95" s="21">
        <f>C95/100000</f>
        <v/>
      </c>
      <c r="E95" s="22" t="n"/>
      <c r="G95" t="inlineStr">
        <is>
          <t>Trust Admin</t>
        </is>
      </c>
      <c r="H95" t="inlineStr">
        <is>
          <t>IT hardware cost</t>
        </is>
      </c>
      <c r="I95" t="inlineStr">
        <is>
          <t>IT hardware cost</t>
        </is>
      </c>
    </row>
    <row r="96" outlineLevel="1">
      <c r="A96" s="13" t="inlineStr">
        <is>
          <t>Office space (Virtual)</t>
        </is>
      </c>
      <c r="B96" s="14" t="inlineStr">
        <is>
          <t>Activity</t>
        </is>
      </c>
      <c r="C96" s="15">
        <f>SUMIFS('Line Items'!$F$3:$F$175,'Line Items'!$A$3:$A$175,$G96,'Line Items'!$B$3:$B$175,$H96)</f>
        <v/>
      </c>
      <c r="D96" s="16">
        <f>C96/100000</f>
        <v/>
      </c>
      <c r="E96" s="17">
        <f>C96/$C$3</f>
        <v/>
      </c>
      <c r="G96" t="inlineStr">
        <is>
          <t>Trust Admin</t>
        </is>
      </c>
      <c r="H96" t="inlineStr">
        <is>
          <t>Office space (Virtual)</t>
        </is>
      </c>
    </row>
    <row r="97" outlineLevel="2">
      <c r="A97" s="18" t="inlineStr">
        <is>
          <t>Office space (Virtual)</t>
        </is>
      </c>
      <c r="B97" s="19" t="inlineStr">
        <is>
          <t>Sub-activity</t>
        </is>
      </c>
      <c r="C97" s="20">
        <f>SUMIFS('Line Items'!$F$3:$F$175,'Line Items'!$A$3:$A$175,$G97,'Line Items'!$B$3:$B$175,$H97,'Line Items'!$C$3:$C$175,$I97)</f>
        <v/>
      </c>
      <c r="D97" s="21">
        <f>C97/100000</f>
        <v/>
      </c>
      <c r="E97" s="22" t="n"/>
      <c r="G97" t="inlineStr">
        <is>
          <t>Trust Admin</t>
        </is>
      </c>
      <c r="H97" t="inlineStr">
        <is>
          <t>Office space (Virtual)</t>
        </is>
      </c>
      <c r="I97" t="inlineStr">
        <is>
          <t>Office space (Virtual)</t>
        </is>
      </c>
    </row>
    <row r="98" outlineLevel="1">
      <c r="A98" s="13" t="inlineStr">
        <is>
          <t>Employee Benefits</t>
        </is>
      </c>
      <c r="B98" s="14" t="inlineStr">
        <is>
          <t>Activity</t>
        </is>
      </c>
      <c r="C98" s="15">
        <f>SUMIFS('Line Items'!$F$3:$F$175,'Line Items'!$A$3:$A$175,$G98,'Line Items'!$B$3:$B$175,$H98)</f>
        <v/>
      </c>
      <c r="D98" s="16">
        <f>C98/100000</f>
        <v/>
      </c>
      <c r="E98" s="17">
        <f>C98/$C$3</f>
        <v/>
      </c>
      <c r="G98" t="inlineStr">
        <is>
          <t>Trust Admin</t>
        </is>
      </c>
      <c r="H98" t="inlineStr">
        <is>
          <t>Employee Benefits</t>
        </is>
      </c>
    </row>
    <row r="99" outlineLevel="2">
      <c r="A99" s="18" t="inlineStr">
        <is>
          <t>Internet allowance, Insurance, EPF</t>
        </is>
      </c>
      <c r="B99" s="19" t="inlineStr">
        <is>
          <t>Sub-activity</t>
        </is>
      </c>
      <c r="C99" s="20">
        <f>SUMIFS('Line Items'!$F$3:$F$175,'Line Items'!$A$3:$A$175,$G99,'Line Items'!$B$3:$B$175,$H99,'Line Items'!$C$3:$C$175,$I99)</f>
        <v/>
      </c>
      <c r="D99" s="21">
        <f>C99/100000</f>
        <v/>
      </c>
      <c r="E99" s="22" t="n"/>
      <c r="G99" t="inlineStr">
        <is>
          <t>Trust Admin</t>
        </is>
      </c>
      <c r="H99" t="inlineStr">
        <is>
          <t>Employee Benefits</t>
        </is>
      </c>
      <c r="I99" t="inlineStr">
        <is>
          <t>Internet allowance, Insurance, EPF</t>
        </is>
      </c>
    </row>
    <row r="100" outlineLevel="1">
      <c r="A100" s="13" t="inlineStr">
        <is>
          <t>Office utilities</t>
        </is>
      </c>
      <c r="B100" s="14" t="inlineStr">
        <is>
          <t>Activity</t>
        </is>
      </c>
      <c r="C100" s="15">
        <f>SUMIFS('Line Items'!$F$3:$F$175,'Line Items'!$A$3:$A$175,$G100,'Line Items'!$B$3:$B$175,$H100)</f>
        <v/>
      </c>
      <c r="D100" s="16">
        <f>C100/100000</f>
        <v/>
      </c>
      <c r="E100" s="17">
        <f>C100/$C$3</f>
        <v/>
      </c>
      <c r="G100" t="inlineStr">
        <is>
          <t>Trust Admin</t>
        </is>
      </c>
      <c r="H100" t="inlineStr">
        <is>
          <t>Office utilities</t>
        </is>
      </c>
    </row>
    <row r="101" outlineLevel="2">
      <c r="A101" s="18" t="inlineStr">
        <is>
          <t>Office utilities</t>
        </is>
      </c>
      <c r="B101" s="19" t="inlineStr">
        <is>
          <t>Sub-activity</t>
        </is>
      </c>
      <c r="C101" s="20">
        <f>SUMIFS('Line Items'!$F$3:$F$175,'Line Items'!$A$3:$A$175,$G101,'Line Items'!$B$3:$B$175,$H101,'Line Items'!$C$3:$C$175,$I101)</f>
        <v/>
      </c>
      <c r="D101" s="21">
        <f>C101/100000</f>
        <v/>
      </c>
      <c r="E101" s="22" t="n"/>
      <c r="G101" t="inlineStr">
        <is>
          <t>Trust Admin</t>
        </is>
      </c>
      <c r="H101" t="inlineStr">
        <is>
          <t>Office utilities</t>
        </is>
      </c>
      <c r="I101" t="inlineStr">
        <is>
          <t>Office utilities</t>
        </is>
      </c>
    </row>
    <row r="102">
      <c r="A102" s="8" t="inlineStr">
        <is>
          <t>Contingency cost (4%)</t>
        </is>
      </c>
      <c r="B102" s="9" t="inlineStr">
        <is>
          <t>Vertical</t>
        </is>
      </c>
      <c r="C102" s="10">
        <f>SUMIF('Line Items'!$A$3:$A$175,$G102,'Line Items'!$F$3:$F$175)</f>
        <v/>
      </c>
      <c r="D102" s="11">
        <f>C102/100000</f>
        <v/>
      </c>
      <c r="E102" s="12">
        <f>C102/$C$3</f>
        <v/>
      </c>
      <c r="G102" t="inlineStr">
        <is>
          <t>Contingency cost (4%)</t>
        </is>
      </c>
    </row>
    <row r="103" outlineLevel="1">
      <c r="A103" s="13" t="inlineStr">
        <is>
          <t>Contingency cost (4%)</t>
        </is>
      </c>
      <c r="B103" s="14" t="inlineStr">
        <is>
          <t>Activity</t>
        </is>
      </c>
      <c r="C103" s="15">
        <f>SUMIFS('Line Items'!$F$3:$F$175,'Line Items'!$A$3:$A$175,$G103,'Line Items'!$B$3:$B$175,$H103)</f>
        <v/>
      </c>
      <c r="D103" s="16">
        <f>C103/100000</f>
        <v/>
      </c>
      <c r="E103" s="17">
        <f>C103/$C$3</f>
        <v/>
      </c>
      <c r="G103" t="inlineStr">
        <is>
          <t>Contingency cost (4%)</t>
        </is>
      </c>
      <c r="H103" t="inlineStr">
        <is>
          <t>Contingency cost (4%)</t>
        </is>
      </c>
    </row>
    <row r="104" outlineLevel="2">
      <c r="A104" s="18" t="inlineStr">
        <is>
          <t>Contingency cost (4%)</t>
        </is>
      </c>
      <c r="B104" s="19" t="inlineStr">
        <is>
          <t>Sub-activity</t>
        </is>
      </c>
      <c r="C104" s="20">
        <f>SUMIFS('Line Items'!$F$3:$F$175,'Line Items'!$A$3:$A$175,$G104,'Line Items'!$B$3:$B$175,$H104,'Line Items'!$C$3:$C$175,$I104)</f>
        <v/>
      </c>
      <c r="D104" s="21">
        <f>C104/100000</f>
        <v/>
      </c>
      <c r="E104" s="22" t="n"/>
      <c r="G104" t="inlineStr">
        <is>
          <t>Contingency cost (4%)</t>
        </is>
      </c>
      <c r="H104" t="inlineStr">
        <is>
          <t>Contingency cost (4%)</t>
        </is>
      </c>
      <c r="I104" t="inlineStr">
        <is>
          <t>Contingency cost (4%)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0" customWidth="1" min="4" max="4"/>
  </cols>
  <sheetData>
    <row r="1" ht="28" customHeight="1">
      <c r="A1" s="1" t="inlineStr">
        <is>
          <t>AOP 2026–27 · Summary by vertical</t>
        </is>
      </c>
    </row>
    <row r="2" ht="22" customHeight="1">
      <c r="A2" s="2" t="inlineStr">
        <is>
          <t>Vertical</t>
        </is>
      </c>
      <c r="B2" s="2" t="inlineStr">
        <is>
          <t>Budget (₹)</t>
        </is>
      </c>
      <c r="C2" s="2" t="inlineStr">
        <is>
          <t>In lacs</t>
        </is>
      </c>
      <c r="D2" s="2" t="inlineStr">
        <is>
          <t>% of AOP</t>
        </is>
      </c>
    </row>
    <row r="3">
      <c r="A3" s="23" t="inlineStr">
        <is>
          <t>Policy</t>
        </is>
      </c>
      <c r="B3" s="24">
        <f>SUMIF('Line Items'!$A$3:$A$175,A3,'Line Items'!$F$3:$F$175)</f>
        <v/>
      </c>
      <c r="C3" s="25">
        <f>B3/100000</f>
        <v/>
      </c>
      <c r="D3" s="26">
        <f>B3/$B$11</f>
        <v/>
      </c>
    </row>
    <row r="4">
      <c r="A4" s="27" t="inlineStr">
        <is>
          <t>Infrastructure</t>
        </is>
      </c>
      <c r="B4" s="28">
        <f>SUMIF('Line Items'!$A$3:$A$175,A4,'Line Items'!$F$3:$F$175)</f>
        <v/>
      </c>
      <c r="C4" s="29">
        <f>B4/100000</f>
        <v/>
      </c>
      <c r="D4" s="30">
        <f>B4/$B$11</f>
        <v/>
      </c>
    </row>
    <row r="5">
      <c r="A5" s="23" t="inlineStr">
        <is>
          <t>Technology</t>
        </is>
      </c>
      <c r="B5" s="24">
        <f>SUMIF('Line Items'!$A$3:$A$175,A5,'Line Items'!$F$3:$F$175)</f>
        <v/>
      </c>
      <c r="C5" s="25">
        <f>B5/100000</f>
        <v/>
      </c>
      <c r="D5" s="26">
        <f>B5/$B$11</f>
        <v/>
      </c>
    </row>
    <row r="6">
      <c r="A6" s="27" t="inlineStr">
        <is>
          <t>Post-emergency care</t>
        </is>
      </c>
      <c r="B6" s="28">
        <f>SUMIF('Line Items'!$A$3:$A$175,A6,'Line Items'!$F$3:$F$175)</f>
        <v/>
      </c>
      <c r="C6" s="29">
        <f>B6/100000</f>
        <v/>
      </c>
      <c r="D6" s="30">
        <f>B6/$B$11</f>
        <v/>
      </c>
    </row>
    <row r="7">
      <c r="A7" s="23" t="inlineStr">
        <is>
          <t>Education</t>
        </is>
      </c>
      <c r="B7" s="24">
        <f>SUMIF('Line Items'!$A$3:$A$175,A7,'Line Items'!$F$3:$F$175)</f>
        <v/>
      </c>
      <c r="C7" s="25">
        <f>B7/100000</f>
        <v/>
      </c>
      <c r="D7" s="26">
        <f>B7/$B$11</f>
        <v/>
      </c>
    </row>
    <row r="8">
      <c r="A8" s="27" t="inlineStr">
        <is>
          <t>Enabler - Research, Innovation and Community Mobilization</t>
        </is>
      </c>
      <c r="B8" s="28">
        <f>SUMIF('Line Items'!$A$3:$A$175,A8,'Line Items'!$F$3:$F$175)</f>
        <v/>
      </c>
      <c r="C8" s="29">
        <f>B8/100000</f>
        <v/>
      </c>
      <c r="D8" s="30">
        <f>B8/$B$11</f>
        <v/>
      </c>
    </row>
    <row r="9">
      <c r="A9" s="23" t="inlineStr">
        <is>
          <t>Trust Admin</t>
        </is>
      </c>
      <c r="B9" s="24">
        <f>SUMIF('Line Items'!$A$3:$A$175,A9,'Line Items'!$F$3:$F$175)</f>
        <v/>
      </c>
      <c r="C9" s="25">
        <f>B9/100000</f>
        <v/>
      </c>
      <c r="D9" s="26">
        <f>B9/$B$11</f>
        <v/>
      </c>
    </row>
    <row r="10">
      <c r="A10" s="27" t="inlineStr">
        <is>
          <t>Contingency cost (4%)</t>
        </is>
      </c>
      <c r="B10" s="28">
        <f>SUMIF('Line Items'!$A$3:$A$175,A10,'Line Items'!$F$3:$F$175)</f>
        <v/>
      </c>
      <c r="C10" s="29">
        <f>B10/100000</f>
        <v/>
      </c>
      <c r="D10" s="30">
        <f>B10/$B$11</f>
        <v/>
      </c>
    </row>
    <row r="11">
      <c r="A11" s="31" t="inlineStr">
        <is>
          <t>Grand Total</t>
        </is>
      </c>
      <c r="B11" s="32">
        <f>SUM(B3:B10)</f>
        <v/>
      </c>
      <c r="C11" s="33">
        <f>B11/100000</f>
        <v/>
      </c>
      <c r="D11" s="34">
        <f>B11/$B$11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46" customWidth="1" min="5" max="5"/>
    <col width="14" customWidth="1" min="6" max="6"/>
    <col width="9" customWidth="1" min="7" max="7"/>
  </cols>
  <sheetData>
    <row r="1" ht="26" customHeight="1">
      <c r="A1" s="35" t="inlineStr">
        <is>
          <t>CFI · AOP 2026–27 · Budget line items (source of truth · 173 rows · ₹6.0 Cr)</t>
        </is>
      </c>
    </row>
    <row r="2" ht="26" customHeight="1">
      <c r="A2" s="2" t="inlineStr">
        <is>
          <t>Vertical</t>
        </is>
      </c>
      <c r="B2" s="2" t="inlineStr">
        <is>
          <t>Activity</t>
        </is>
      </c>
      <c r="C2" s="2" t="inlineStr">
        <is>
          <t>Sub-Activity</t>
        </is>
      </c>
      <c r="D2" s="2" t="inlineStr">
        <is>
          <t>Budget Header</t>
        </is>
      </c>
      <c r="E2" s="2" t="inlineStr">
        <is>
          <t>Description</t>
        </is>
      </c>
      <c r="F2" s="2" t="inlineStr">
        <is>
          <t>Budget (₹)</t>
        </is>
      </c>
      <c r="G2" s="2" t="inlineStr">
        <is>
          <t>In lacs</t>
        </is>
      </c>
    </row>
    <row r="3">
      <c r="A3" s="36" t="inlineStr">
        <is>
          <t>Policy</t>
        </is>
      </c>
      <c r="B3" s="36" t="inlineStr">
        <is>
          <t>Legal Resources for Victims in Vernacular Languages</t>
        </is>
      </c>
      <c r="C3" s="36" t="inlineStr">
        <is>
          <t>Part 1: Development of Legal Resource Guide</t>
        </is>
      </c>
      <c r="D3" s="36" t="inlineStr">
        <is>
          <t>Translation into Vernacular Languages</t>
        </is>
      </c>
      <c r="E3" s="37" t="inlineStr">
        <is>
          <t>10 languages @ ₹10,000 each (proofreading included) (20 pager report with 8k-12k words, INR 1/word)</t>
        </is>
      </c>
      <c r="F3" s="38" t="n">
        <v>100000</v>
      </c>
      <c r="G3" s="39">
        <f>F3/100000</f>
        <v/>
      </c>
    </row>
    <row r="4">
      <c r="A4" s="40" t="inlineStr">
        <is>
          <t>Policy</t>
        </is>
      </c>
      <c r="B4" s="40" t="inlineStr">
        <is>
          <t>Legal Resources for Victims in Vernacular Languages</t>
        </is>
      </c>
      <c r="C4" s="40" t="inlineStr">
        <is>
          <t>Part 1: Development of Legal Resource Guide</t>
        </is>
      </c>
      <c r="D4" s="40" t="inlineStr">
        <is>
          <t>Audio-Visual Format Creation</t>
        </is>
      </c>
      <c r="E4" s="41" t="inlineStr">
        <is>
          <t>5*10 languages - explainer videos/audio guides for different formats (regional dubbing) (50*5000)</t>
        </is>
      </c>
      <c r="F4" s="42" t="n">
        <v>250000</v>
      </c>
      <c r="G4" s="43">
        <f>F4/100000</f>
        <v/>
      </c>
    </row>
    <row r="5">
      <c r="A5" s="36" t="inlineStr">
        <is>
          <t>Policy</t>
        </is>
      </c>
      <c r="B5" s="36" t="inlineStr">
        <is>
          <t>Legal Resources for Victims in Vernacular Languages</t>
        </is>
      </c>
      <c r="C5" s="36" t="inlineStr">
        <is>
          <t>Part 1: Development of Legal Resource Guide</t>
        </is>
      </c>
      <c r="D5" s="36" t="inlineStr">
        <is>
          <t>Printing Physical Copies</t>
        </is>
      </c>
      <c r="E5" s="37" t="inlineStr">
        <is>
          <t>10,000 booklets, Handouts (~₹20/booklet incl. quality paper, color print)</t>
        </is>
      </c>
      <c r="F5" s="38" t="n">
        <v>200000</v>
      </c>
      <c r="G5" s="39">
        <f>F5/100000</f>
        <v/>
      </c>
    </row>
    <row r="6">
      <c r="A6" s="40" t="inlineStr">
        <is>
          <t>Policy</t>
        </is>
      </c>
      <c r="B6" s="40" t="inlineStr">
        <is>
          <t>Legal Resources for Victims in Vernacular Languages</t>
        </is>
      </c>
      <c r="C6" s="40" t="inlineStr">
        <is>
          <t>Part 1: Development of Legal Resource Guide</t>
        </is>
      </c>
      <c r="D6" s="40" t="inlineStr">
        <is>
          <t>Legal writers and researchers</t>
        </is>
      </c>
      <c r="E6" s="41" t="inlineStr">
        <is>
          <t>Legal writers + researchers to draft content in simple language (compensation, rights, procedures) (2 writers*25000*3 months)</t>
        </is>
      </c>
      <c r="F6" s="42" t="n">
        <v>150000</v>
      </c>
      <c r="G6" s="43">
        <f>F6/100000</f>
        <v/>
      </c>
    </row>
    <row r="7">
      <c r="A7" s="36" t="inlineStr">
        <is>
          <t>Policy</t>
        </is>
      </c>
      <c r="B7" s="36" t="inlineStr">
        <is>
          <t>Legal Resources for Victims in Vernacular Languages</t>
        </is>
      </c>
      <c r="C7" s="36" t="inlineStr">
        <is>
          <t>Part 1: Development of Legal Resource Guide</t>
        </is>
      </c>
      <c r="D7" s="36" t="inlineStr">
        <is>
          <t>Graphic Design + Layout (Comic strips, Doodling)</t>
        </is>
      </c>
      <c r="E7" s="37" t="inlineStr">
        <is>
          <t>Comic strip designs, engaging animated video design (with story): 10 regional langauges</t>
        </is>
      </c>
      <c r="F7" s="38" t="n">
        <v>200000</v>
      </c>
      <c r="G7" s="39">
        <f>F7/100000</f>
        <v/>
      </c>
    </row>
    <row r="8">
      <c r="A8" s="40" t="inlineStr">
        <is>
          <t>Policy</t>
        </is>
      </c>
      <c r="B8" s="40" t="inlineStr">
        <is>
          <t>Legal Resources for Victims in Vernacular Languages</t>
        </is>
      </c>
      <c r="C8" s="40" t="inlineStr">
        <is>
          <t>Part 1: Development of Legal Resource Guide</t>
        </is>
      </c>
      <c r="D8" s="40" t="inlineStr">
        <is>
          <t>Expert review (2 hour roundtable event)</t>
        </is>
      </c>
      <c r="E8" s="41" t="inlineStr">
        <is>
          <t>2 rountable review sessions with experts (lawyers, government authorites, civic leaders)</t>
        </is>
      </c>
      <c r="F8" s="42" t="n">
        <v>150000</v>
      </c>
      <c r="G8" s="43">
        <f>F8/100000</f>
        <v/>
      </c>
    </row>
    <row r="9">
      <c r="A9" s="36" t="inlineStr">
        <is>
          <t>Policy</t>
        </is>
      </c>
      <c r="B9" s="36" t="inlineStr">
        <is>
          <t>Legal Resources for Victims in Vernacular Languages</t>
        </is>
      </c>
      <c r="C9" s="36" t="inlineStr">
        <is>
          <t>Part 2: Outreach and Distribution</t>
        </is>
      </c>
      <c r="D9" s="36" t="inlineStr">
        <is>
          <t>Media engagement</t>
        </is>
      </c>
      <c r="E9" s="37" t="inlineStr">
        <is>
          <t>Marketing the content on digital platforms (Influencer partnerships, Partnership with Policybazar, Uber, Ola, blinkit, Zepto for In-app ads), mass broadcasting (Media and Digital advocacy)</t>
        </is>
      </c>
      <c r="F9" s="38" t="n">
        <v>800000</v>
      </c>
      <c r="G9" s="39">
        <f>F9/100000</f>
        <v/>
      </c>
    </row>
    <row r="10">
      <c r="A10" s="40" t="inlineStr">
        <is>
          <t>Policy</t>
        </is>
      </c>
      <c r="B10" s="40" t="inlineStr">
        <is>
          <t>Legal Resources for Victims in Vernacular Languages</t>
        </is>
      </c>
      <c r="C10" s="40" t="inlineStr">
        <is>
          <t>Part 2: Outreach and Distribution</t>
        </is>
      </c>
      <c r="D10" s="40" t="inlineStr">
        <is>
          <t>Core team travel for partnerships</t>
        </is>
      </c>
      <c r="E10" s="41" t="inlineStr">
        <is>
          <t>Partnerships with Media, Influencers, Policybazaar, Uber etc.</t>
        </is>
      </c>
      <c r="F10" s="42" t="n">
        <v>20000</v>
      </c>
      <c r="G10" s="43">
        <f>F10/100000</f>
        <v/>
      </c>
    </row>
    <row r="11">
      <c r="A11" s="36" t="inlineStr">
        <is>
          <t>Policy</t>
        </is>
      </c>
      <c r="B11" s="36" t="inlineStr">
        <is>
          <t>Legal Resources for Victims in Vernacular Languages</t>
        </is>
      </c>
      <c r="C11" s="36" t="inlineStr">
        <is>
          <t>Part 2: Outreach and Distribution</t>
        </is>
      </c>
      <c r="D11" s="36" t="inlineStr">
        <is>
          <t>Resource Kits for Hospitals</t>
        </is>
      </c>
      <c r="E11" s="37" t="inlineStr">
        <is>
          <t>500 kits @ ₹500 each (includes booklets, posters, QR codes, standees, explainer cards)</t>
        </is>
      </c>
      <c r="F11" s="38" t="n">
        <v>250000</v>
      </c>
      <c r="G11" s="39">
        <f>F11/100000</f>
        <v/>
      </c>
    </row>
    <row r="12">
      <c r="A12" s="40" t="inlineStr">
        <is>
          <t>Policy</t>
        </is>
      </c>
      <c r="B12" s="40" t="inlineStr">
        <is>
          <t>Legal Resources for Victims in Vernacular Languages</t>
        </is>
      </c>
      <c r="C12" s="40" t="inlineStr">
        <is>
          <t>Part 2: Outreach and Distribution</t>
        </is>
      </c>
      <c r="D12" s="40" t="inlineStr">
        <is>
          <t>Local Distribution Logistics</t>
        </is>
      </c>
      <c r="E12" s="41" t="inlineStr">
        <is>
          <t>Printing of booklets, comic strips to share with government authorities, expert panel, Transport, courier (250*200)</t>
        </is>
      </c>
      <c r="F12" s="42" t="n">
        <v>50000</v>
      </c>
      <c r="G12" s="43">
        <f>F12/100000</f>
        <v/>
      </c>
    </row>
    <row r="13">
      <c r="A13" s="36" t="inlineStr">
        <is>
          <t>Policy</t>
        </is>
      </c>
      <c r="B13" s="36" t="inlineStr">
        <is>
          <t>Legal Resources for Victims in Vernacular Languages</t>
        </is>
      </c>
      <c r="C13" s="36" t="inlineStr">
        <is>
          <t>Part 2: Outreach and Distribution</t>
        </is>
      </c>
      <c r="D13" s="36" t="inlineStr">
        <is>
          <t>MOUs with Hospitals/Trauma Centers</t>
        </is>
      </c>
      <c r="E13" s="37" t="inlineStr">
        <is>
          <t>Travel, Coordination with 15–20 hospitals; Staff briefings, onboarding, Guide distribution (15*10000)</t>
        </is>
      </c>
      <c r="F13" s="38" t="n">
        <v>150000</v>
      </c>
      <c r="G13" s="39">
        <f>F13/100000</f>
        <v/>
      </c>
    </row>
    <row r="14">
      <c r="A14" s="40" t="inlineStr">
        <is>
          <t>Policy</t>
        </is>
      </c>
      <c r="B14" s="40" t="inlineStr">
        <is>
          <t>Legal Resources for Victims in Vernacular Languages</t>
        </is>
      </c>
      <c r="C14" s="40" t="inlineStr">
        <is>
          <t>Part 3: Awareness Workshops &amp; Law Camps</t>
        </is>
      </c>
      <c r="D14" s="40" t="inlineStr">
        <is>
          <t>Law Camps in Rural/Semi-urban Areas</t>
        </is>
      </c>
      <c r="E14" s="41" t="inlineStr">
        <is>
          <t>4 camps x ₹150,000 (includes venue cost, tent, PA system, branding, refreshments)</t>
        </is>
      </c>
      <c r="F14" s="42" t="n">
        <v>600000</v>
      </c>
      <c r="G14" s="43">
        <f>F14/100000</f>
        <v/>
      </c>
    </row>
    <row r="15">
      <c r="A15" s="36" t="inlineStr">
        <is>
          <t>Policy</t>
        </is>
      </c>
      <c r="B15" s="36" t="inlineStr">
        <is>
          <t>Legal Resources for Victims in Vernacular Languages</t>
        </is>
      </c>
      <c r="C15" s="36" t="inlineStr">
        <is>
          <t>Part 3: Awareness Workshops &amp; Law Camps</t>
        </is>
      </c>
      <c r="D15" s="36" t="inlineStr">
        <is>
          <t>Organizing Legal Rights Workshops with Victims and Hospital staffs</t>
        </is>
      </c>
      <c r="E15" s="37" t="inlineStr">
        <is>
          <t>2 sessions x ₹200,000 (venue, refreshments, logistics)</t>
        </is>
      </c>
      <c r="F15" s="38" t="n">
        <v>400000</v>
      </c>
      <c r="G15" s="39">
        <f>F15/100000</f>
        <v/>
      </c>
    </row>
    <row r="16">
      <c r="A16" s="40" t="inlineStr">
        <is>
          <t>Policy</t>
        </is>
      </c>
      <c r="B16" s="40" t="inlineStr">
        <is>
          <t>Legal Resources for Victims in Vernacular Languages</t>
        </is>
      </c>
      <c r="C16" s="40" t="inlineStr">
        <is>
          <t>Part 3: Awareness Workshops &amp; Law Camps</t>
        </is>
      </c>
      <c r="D16" s="40" t="inlineStr">
        <is>
          <t>Experts and Lawyers engagement</t>
        </is>
      </c>
      <c r="E16" s="41" t="inlineStr">
        <is>
          <t>Lawyers for 6 sessions (6 sessions x ₹25,000)</t>
        </is>
      </c>
      <c r="F16" s="42" t="n">
        <v>150000</v>
      </c>
      <c r="G16" s="43">
        <f>F16/100000</f>
        <v/>
      </c>
    </row>
    <row r="17">
      <c r="A17" s="36" t="inlineStr">
        <is>
          <t>Policy</t>
        </is>
      </c>
      <c r="B17" s="36" t="inlineStr">
        <is>
          <t>Legal Resources for Victims in Vernacular Languages</t>
        </is>
      </c>
      <c r="C17" s="36" t="inlineStr">
        <is>
          <t>Part 3: Awareness Workshops &amp; Law Camps</t>
        </is>
      </c>
      <c r="D17" s="36" t="inlineStr">
        <is>
          <t>Merchandise for Participants</t>
        </is>
      </c>
      <c r="E17" s="37" t="inlineStr">
        <is>
          <t>Merchandise, Handouts, flashcards, legal FAQs (~1,000 participants). (1000*150)</t>
        </is>
      </c>
      <c r="F17" s="38" t="n">
        <v>150000</v>
      </c>
      <c r="G17" s="39">
        <f>F17/100000</f>
        <v/>
      </c>
    </row>
    <row r="18">
      <c r="A18" s="40" t="inlineStr">
        <is>
          <t>Policy</t>
        </is>
      </c>
      <c r="B18" s="40" t="inlineStr">
        <is>
          <t>Legal Resources for Victims in Vernacular Languages</t>
        </is>
      </c>
      <c r="C18" s="40" t="inlineStr">
        <is>
          <t>Part 3: Awareness Workshops &amp; Law Camps</t>
        </is>
      </c>
      <c r="D18" s="40" t="inlineStr">
        <is>
          <t>Legal Volunteers</t>
        </is>
      </c>
      <c r="E18" s="41" t="inlineStr">
        <is>
          <t>Honorarium, travel reimbursements (avg. ₹5K/person/event)</t>
        </is>
      </c>
      <c r="F18" s="42" t="n">
        <v>100000</v>
      </c>
      <c r="G18" s="43">
        <f>F18/100000</f>
        <v/>
      </c>
    </row>
    <row r="19">
      <c r="A19" s="36" t="inlineStr">
        <is>
          <t>Policy</t>
        </is>
      </c>
      <c r="B19" s="36" t="inlineStr">
        <is>
          <t>Legal Resources for Victims in Vernacular Languages</t>
        </is>
      </c>
      <c r="C19" s="36" t="inlineStr">
        <is>
          <t>Part 3: Awareness Workshops &amp; Law Camps</t>
        </is>
      </c>
      <c r="D19" s="36" t="inlineStr">
        <is>
          <t>Core team travel and logistics to law camps</t>
        </is>
      </c>
      <c r="E19" s="37" t="inlineStr">
        <is>
          <t>2 people per event (2*6*15000)</t>
        </is>
      </c>
      <c r="F19" s="38" t="n">
        <v>180000</v>
      </c>
      <c r="G19" s="39">
        <f>F19/100000</f>
        <v/>
      </c>
    </row>
    <row r="20">
      <c r="A20" s="40" t="inlineStr">
        <is>
          <t>Policy</t>
        </is>
      </c>
      <c r="B20" s="40" t="inlineStr">
        <is>
          <t>Strengthening Road Safety Regulations via RTI/PIL</t>
        </is>
      </c>
      <c r="C20" s="40" t="inlineStr">
        <is>
          <t>Part 1: Policy ecosystem mapping in India</t>
        </is>
      </c>
      <c r="D20" s="40" t="inlineStr">
        <is>
          <t>Freelance Legal Consultants / Researchers</t>
        </is>
      </c>
      <c r="E20" s="41" t="inlineStr">
        <is>
          <t>2 part-time legal researchers for 9 months (₹20K/month each)</t>
        </is>
      </c>
      <c r="F20" s="42" t="n">
        <v>360000</v>
      </c>
      <c r="G20" s="43">
        <f>F20/100000</f>
        <v/>
      </c>
    </row>
    <row r="21">
      <c r="A21" s="36" t="inlineStr">
        <is>
          <t>Policy</t>
        </is>
      </c>
      <c r="B21" s="36" t="inlineStr">
        <is>
          <t>Strengthening Road Safety Regulations via RTI/PIL</t>
        </is>
      </c>
      <c r="C21" s="36" t="inlineStr">
        <is>
          <t>Part 1: Policy ecosystem mapping in India</t>
        </is>
      </c>
      <c r="D21" s="36" t="inlineStr">
        <is>
          <t>Marketing, Partnerships for Outreach for published report</t>
        </is>
      </c>
      <c r="E21" s="37" t="inlineStr">
        <is>
          <t>Video insight circulations, engaging micro-influencers</t>
        </is>
      </c>
      <c r="F21" s="38" t="n">
        <v>250000</v>
      </c>
      <c r="G21" s="39">
        <f>F21/100000</f>
        <v/>
      </c>
    </row>
    <row r="22">
      <c r="A22" s="40" t="inlineStr">
        <is>
          <t>Policy</t>
        </is>
      </c>
      <c r="B22" s="40" t="inlineStr">
        <is>
          <t>Strengthening Road Safety Regulations via RTI/PIL</t>
        </is>
      </c>
      <c r="C22" s="40" t="inlineStr">
        <is>
          <t>Part 1: Policy ecosystem mapping in India</t>
        </is>
      </c>
      <c r="D22" s="40" t="inlineStr">
        <is>
          <t>Expert Consultations</t>
        </is>
      </c>
      <c r="E22" s="41" t="inlineStr">
        <is>
          <t>3–4 policy/legal experts for validation and review (honorarium ₹25K each)</t>
        </is>
      </c>
      <c r="F22" s="42" t="n">
        <v>100000</v>
      </c>
      <c r="G22" s="43">
        <f>F22/100000</f>
        <v/>
      </c>
    </row>
    <row r="23">
      <c r="A23" s="36" t="inlineStr">
        <is>
          <t>Policy</t>
        </is>
      </c>
      <c r="B23" s="36" t="inlineStr">
        <is>
          <t>Strengthening Road Safety Regulations via RTI/PIL</t>
        </is>
      </c>
      <c r="C23" s="36" t="inlineStr">
        <is>
          <t>Part 1: Policy ecosystem mapping in India</t>
        </is>
      </c>
      <c r="D23" s="36" t="inlineStr">
        <is>
          <t>Printing &amp; Dissemination</t>
        </is>
      </c>
      <c r="E23" s="37" t="inlineStr">
        <is>
          <t>500 physical copies, layout &amp; design, shipping (500*200)</t>
        </is>
      </c>
      <c r="F23" s="38" t="n">
        <v>100000</v>
      </c>
      <c r="G23" s="39">
        <f>F23/100000</f>
        <v/>
      </c>
    </row>
    <row r="24">
      <c r="A24" s="40" t="inlineStr">
        <is>
          <t>Policy</t>
        </is>
      </c>
      <c r="B24" s="40" t="inlineStr">
        <is>
          <t>Strengthening Road Safety Regulations via RTI/PIL</t>
        </is>
      </c>
      <c r="C24" s="40" t="inlineStr">
        <is>
          <t>Part 1: Policy ecosystem mapping in India</t>
        </is>
      </c>
      <c r="D24" s="40" t="inlineStr">
        <is>
          <t>Legal review and Identification of legal ground for PIL</t>
        </is>
      </c>
      <c r="E24" s="41" t="inlineStr">
        <is>
          <t>Engaging 2 lawyers</t>
        </is>
      </c>
      <c r="F24" s="42" t="n">
        <v>100000</v>
      </c>
      <c r="G24" s="43">
        <f>F24/100000</f>
        <v/>
      </c>
    </row>
    <row r="25">
      <c r="A25" s="36" t="inlineStr">
        <is>
          <t>Policy</t>
        </is>
      </c>
      <c r="B25" s="36" t="inlineStr">
        <is>
          <t>Strengthening Road Safety Regulations via RTI/PIL</t>
        </is>
      </c>
      <c r="C25" s="36" t="inlineStr">
        <is>
          <t>Part 1: Policy ecosystem mapping in India</t>
        </is>
      </c>
      <c r="D25" s="36" t="inlineStr">
        <is>
          <t>Report Writing &amp; Editing</t>
        </is>
      </c>
      <c r="E25" s="37" t="inlineStr">
        <is>
          <t>Drafting, editing, designing final policy gap report</t>
        </is>
      </c>
      <c r="F25" s="38" t="n">
        <v>0</v>
      </c>
      <c r="G25" s="39">
        <f>F25/100000</f>
        <v/>
      </c>
    </row>
    <row r="26">
      <c r="A26" s="40" t="inlineStr">
        <is>
          <t>Policy</t>
        </is>
      </c>
      <c r="B26" s="40" t="inlineStr">
        <is>
          <t>Strengthening Road Safety Regulations via RTI/PIL</t>
        </is>
      </c>
      <c r="C26" s="40" t="inlineStr">
        <is>
          <t>Part 2: Policy ideathon in law universities</t>
        </is>
      </c>
      <c r="D26" s="40" t="inlineStr">
        <is>
          <t>Ideathon Prizes</t>
        </is>
      </c>
      <c r="E26" s="41" t="inlineStr">
        <is>
          <t>Prizes for top 3 ideas (2 .5 lacs, 1.5 lacs, 75k); Consolation Prize for next 7 (10k)</t>
        </is>
      </c>
      <c r="F26" s="42" t="n">
        <v>545000</v>
      </c>
      <c r="G26" s="43">
        <f>F26/100000</f>
        <v/>
      </c>
    </row>
    <row r="27">
      <c r="A27" s="36" t="inlineStr">
        <is>
          <t>Policy</t>
        </is>
      </c>
      <c r="B27" s="36" t="inlineStr">
        <is>
          <t>Strengthening Road Safety Regulations via RTI/PIL</t>
        </is>
      </c>
      <c r="C27" s="36" t="inlineStr">
        <is>
          <t>Part 2: Policy ideathon in law universities</t>
        </is>
      </c>
      <c r="D27" s="36" t="inlineStr">
        <is>
          <t>Event Coordination &amp; Venue</t>
        </is>
      </c>
      <c r="E27" s="37" t="inlineStr">
        <is>
          <t>Event in Delhi/Mumbai law school incl. hall, logistics</t>
        </is>
      </c>
      <c r="F27" s="38" t="n">
        <v>200000</v>
      </c>
      <c r="G27" s="39">
        <f>F27/100000</f>
        <v/>
      </c>
    </row>
    <row r="28">
      <c r="A28" s="40" t="inlineStr">
        <is>
          <t>Policy</t>
        </is>
      </c>
      <c r="B28" s="40" t="inlineStr">
        <is>
          <t>Strengthening Road Safety Regulations via RTI/PIL</t>
        </is>
      </c>
      <c r="C28" s="40" t="inlineStr">
        <is>
          <t>Part 2: Policy ideathon in law universities</t>
        </is>
      </c>
      <c r="D28" s="40" t="inlineStr">
        <is>
          <t>Student Participation Support</t>
        </is>
      </c>
      <c r="E28" s="41" t="inlineStr">
        <is>
          <t>Certificates and Momentos, refreshments for participants (200*250)</t>
        </is>
      </c>
      <c r="F28" s="42" t="n">
        <v>50000</v>
      </c>
      <c r="G28" s="43">
        <f>F28/100000</f>
        <v/>
      </c>
    </row>
    <row r="29">
      <c r="A29" s="36" t="inlineStr">
        <is>
          <t>Policy</t>
        </is>
      </c>
      <c r="B29" s="36" t="inlineStr">
        <is>
          <t>Strengthening Road Safety Regulations via RTI/PIL</t>
        </is>
      </c>
      <c r="C29" s="36" t="inlineStr">
        <is>
          <t>Part 2: Policy ideathon in law universities</t>
        </is>
      </c>
      <c r="D29" s="36" t="inlineStr">
        <is>
          <t>Travel &amp; Honorarium (Speakers/Judges)</t>
        </is>
      </c>
      <c r="E29" s="37" t="inlineStr">
        <is>
          <t>Travel + honorarium for 4 speakers (₹25K each)</t>
        </is>
      </c>
      <c r="F29" s="38" t="n">
        <v>100000</v>
      </c>
      <c r="G29" s="39">
        <f>F29/100000</f>
        <v/>
      </c>
    </row>
    <row r="30">
      <c r="A30" s="40" t="inlineStr">
        <is>
          <t>Policy</t>
        </is>
      </c>
      <c r="B30" s="40" t="inlineStr">
        <is>
          <t>Strengthening Road Safety Regulations via RTI/PIL</t>
        </is>
      </c>
      <c r="C30" s="40" t="inlineStr">
        <is>
          <t>Part 2: Policy ideathon in law universities</t>
        </is>
      </c>
      <c r="D30" s="40" t="inlineStr">
        <is>
          <t>Travel reimbursement for participants</t>
        </is>
      </c>
      <c r="E30" s="41" t="inlineStr">
        <is>
          <t>Travel of selected participants to finale event (200*1500)</t>
        </is>
      </c>
      <c r="F30" s="42" t="n">
        <v>300000</v>
      </c>
      <c r="G30" s="43">
        <f>F30/100000</f>
        <v/>
      </c>
    </row>
    <row r="31">
      <c r="A31" s="36" t="inlineStr">
        <is>
          <t>Policy</t>
        </is>
      </c>
      <c r="B31" s="36" t="inlineStr">
        <is>
          <t>Strengthening Road Safety Regulations via RTI/PIL</t>
        </is>
      </c>
      <c r="C31" s="36" t="inlineStr">
        <is>
          <t>Part 2: Policy ideathon in law universities</t>
        </is>
      </c>
      <c r="D31" s="36" t="inlineStr">
        <is>
          <t>Pre-event Outreach</t>
        </is>
      </c>
      <c r="E31" s="37" t="inlineStr">
        <is>
          <t>Digital promos, Social Media Ads</t>
        </is>
      </c>
      <c r="F31" s="38" t="n">
        <v>100000</v>
      </c>
      <c r="G31" s="39">
        <f>F31/100000</f>
        <v/>
      </c>
    </row>
    <row r="32">
      <c r="A32" s="40" t="inlineStr">
        <is>
          <t>Policy</t>
        </is>
      </c>
      <c r="B32" s="40" t="inlineStr">
        <is>
          <t>Strengthening Road Safety Regulations via RTI/PIL</t>
        </is>
      </c>
      <c r="C32" s="40" t="inlineStr">
        <is>
          <t>Part 2: Policy ideathon in law universities</t>
        </is>
      </c>
      <c r="D32" s="40" t="inlineStr">
        <is>
          <t>Volunteers and Mentors</t>
        </is>
      </c>
      <c r="E32" s="41" t="inlineStr">
        <is>
          <t>6 on-ground volunteers + 4 Legal experts</t>
        </is>
      </c>
      <c r="F32" s="42" t="n">
        <v>50000</v>
      </c>
      <c r="G32" s="43">
        <f>F32/100000</f>
        <v/>
      </c>
    </row>
    <row r="33">
      <c r="A33" s="36" t="inlineStr">
        <is>
          <t>Policy</t>
        </is>
      </c>
      <c r="B33" s="36" t="inlineStr">
        <is>
          <t>Strengthening Road Safety Regulations via RTI/PIL</t>
        </is>
      </c>
      <c r="C33" s="36" t="inlineStr">
        <is>
          <t>Part 3: Primary Research – Cashless Treatment &amp; Compensation</t>
        </is>
      </c>
      <c r="D33" s="36" t="inlineStr">
        <is>
          <t>Marketing, Partnerships for Outreach for published report</t>
        </is>
      </c>
      <c r="E33" s="37" t="inlineStr">
        <is>
          <t>Video insight circulations, engaging micro-influencers</t>
        </is>
      </c>
      <c r="F33" s="38" t="n">
        <v>250000</v>
      </c>
      <c r="G33" s="39">
        <f>F33/100000</f>
        <v/>
      </c>
    </row>
    <row r="34">
      <c r="A34" s="40" t="inlineStr">
        <is>
          <t>Policy</t>
        </is>
      </c>
      <c r="B34" s="40" t="inlineStr">
        <is>
          <t>Strengthening Road Safety Regulations via RTI/PIL</t>
        </is>
      </c>
      <c r="C34" s="40" t="inlineStr">
        <is>
          <t>Part 3: Primary Research – Cashless Treatment &amp; Compensation</t>
        </is>
      </c>
      <c r="D34" s="40" t="inlineStr">
        <is>
          <t>Participant Honorarium</t>
        </is>
      </c>
      <c r="E34" s="41" t="inlineStr">
        <is>
          <t>₹2000 per family x 100 families for time compensation</t>
        </is>
      </c>
      <c r="F34" s="42" t="n">
        <v>200000</v>
      </c>
      <c r="G34" s="43">
        <f>F34/100000</f>
        <v/>
      </c>
    </row>
    <row r="35">
      <c r="A35" s="36" t="inlineStr">
        <is>
          <t>Policy</t>
        </is>
      </c>
      <c r="B35" s="36" t="inlineStr">
        <is>
          <t>Strengthening Road Safety Regulations via RTI/PIL</t>
        </is>
      </c>
      <c r="C35" s="36" t="inlineStr">
        <is>
          <t>Part 3: Primary Research – Cashless Treatment &amp; Compensation</t>
        </is>
      </c>
      <c r="D35" s="36" t="inlineStr">
        <is>
          <t>Field Researchers / Surveyors</t>
        </is>
      </c>
      <c r="E35" s="37" t="inlineStr">
        <is>
          <t>4 surveyors x ₹2,500/day x 15 days</t>
        </is>
      </c>
      <c r="F35" s="38" t="n">
        <v>150000</v>
      </c>
      <c r="G35" s="39">
        <f>F35/100000</f>
        <v/>
      </c>
    </row>
    <row r="36">
      <c r="A36" s="40" t="inlineStr">
        <is>
          <t>Policy</t>
        </is>
      </c>
      <c r="B36" s="40" t="inlineStr">
        <is>
          <t>Strengthening Road Safety Regulations via RTI/PIL</t>
        </is>
      </c>
      <c r="C36" s="40" t="inlineStr">
        <is>
          <t>Part 3: Primary Research – Cashless Treatment &amp; Compensation</t>
        </is>
      </c>
      <c r="D36" s="40" t="inlineStr">
        <is>
          <t>Travel &amp; Logistics</t>
        </is>
      </c>
      <c r="E36" s="41" t="inlineStr">
        <is>
          <t>Local travel, lodging (if any), refreshments for survey team</t>
        </is>
      </c>
      <c r="F36" s="42" t="n">
        <v>75000</v>
      </c>
      <c r="G36" s="43">
        <f>F36/100000</f>
        <v/>
      </c>
    </row>
    <row r="37">
      <c r="A37" s="36" t="inlineStr">
        <is>
          <t>Policy</t>
        </is>
      </c>
      <c r="B37" s="36" t="inlineStr">
        <is>
          <t>Strengthening Road Safety Regulations via RTI/PIL</t>
        </is>
      </c>
      <c r="C37" s="36" t="inlineStr">
        <is>
          <t>Part 3: Primary Research – Cashless Treatment &amp; Compensation</t>
        </is>
      </c>
      <c r="D37" s="36" t="inlineStr">
        <is>
          <t>Data Cleaning, Analysis &amp; Report</t>
        </is>
      </c>
      <c r="E37" s="37" t="inlineStr">
        <is>
          <t>Report design and writing</t>
        </is>
      </c>
      <c r="F37" s="38" t="n">
        <v>0</v>
      </c>
      <c r="G37" s="39">
        <f>F37/100000</f>
        <v/>
      </c>
    </row>
    <row r="38">
      <c r="A38" s="40" t="inlineStr">
        <is>
          <t>Policy</t>
        </is>
      </c>
      <c r="B38" s="40" t="inlineStr">
        <is>
          <t>Strengthening Road Safety Regulations via RTI/PIL</t>
        </is>
      </c>
      <c r="C38" s="40" t="inlineStr">
        <is>
          <t>Part 3: Primary Research – Cashless Treatment &amp; Compensation</t>
        </is>
      </c>
      <c r="D38" s="40" t="inlineStr">
        <is>
          <t>Printing &amp; Dissemination</t>
        </is>
      </c>
      <c r="E38" s="41" t="inlineStr">
        <is>
          <t>250 physical copies (250*200), Shipping to expert pannel, government authorities (100*250)</t>
        </is>
      </c>
      <c r="F38" s="42" t="n">
        <v>75000</v>
      </c>
      <c r="G38" s="43">
        <f>F38/100000</f>
        <v/>
      </c>
    </row>
    <row r="39">
      <c r="A39" s="36" t="inlineStr">
        <is>
          <t>Policy</t>
        </is>
      </c>
      <c r="B39" s="36" t="inlineStr">
        <is>
          <t>Strengthening Road Safety Regulations via RTI/PIL</t>
        </is>
      </c>
      <c r="C39" s="36" t="inlineStr">
        <is>
          <t>Part 3: Primary Research – Cashless Treatment &amp; Compensation</t>
        </is>
      </c>
      <c r="D39" s="36" t="inlineStr">
        <is>
          <t>Ethical approvals</t>
        </is>
      </c>
      <c r="E39" s="37" t="inlineStr">
        <is>
          <t>Partnership with DTP, AIIMS to get data of victims, Travel cost, Getting Ethical approvals for survey</t>
        </is>
      </c>
      <c r="F39" s="38" t="n">
        <v>45000</v>
      </c>
      <c r="G39" s="39">
        <f>F39/100000</f>
        <v/>
      </c>
    </row>
    <row r="40">
      <c r="A40" s="40" t="inlineStr">
        <is>
          <t>Policy</t>
        </is>
      </c>
      <c r="B40" s="40" t="inlineStr">
        <is>
          <t>Strengthening Road Safety Regulations via RTI/PIL</t>
        </is>
      </c>
      <c r="C40" s="40" t="inlineStr">
        <is>
          <t>Part 3: Primary Research – Cashless Treatment &amp; Compensation</t>
        </is>
      </c>
      <c r="D40" s="40" t="inlineStr">
        <is>
          <t>Data Collection Tools / Tablets / Printing</t>
        </is>
      </c>
      <c r="E40" s="41" t="inlineStr">
        <is>
          <t>Consent forms, tablets (on hire) for digital surveys</t>
        </is>
      </c>
      <c r="F40" s="42" t="n">
        <v>50000</v>
      </c>
      <c r="G40" s="43">
        <f>F40/100000</f>
        <v/>
      </c>
    </row>
    <row r="41">
      <c r="A41" s="36" t="inlineStr">
        <is>
          <t>Infrastructure</t>
        </is>
      </c>
      <c r="B41" s="36" t="inlineStr">
        <is>
          <t>Infrastructure Internship and School Safety Zone</t>
        </is>
      </c>
      <c r="C41" s="36" t="inlineStr">
        <is>
          <t>1. Infrastructure Internship</t>
        </is>
      </c>
      <c r="D41" s="36" t="inlineStr">
        <is>
          <t>Stipend for Interns</t>
        </is>
      </c>
      <c r="E41" s="37" t="inlineStr">
        <is>
          <t>50 teams (30k for 4 months) ; performance-based token stipend. 
Interns to be hired for ground level intervention (Identification of accident hotspots, surveying, drafting recommendations for policy issues, getting it approved from authorities). Considering a conversation rate of 16% atleast 50 teams needed</t>
        </is>
      </c>
      <c r="F41" s="38" t="n">
        <v>1500000</v>
      </c>
      <c r="G41" s="39">
        <f>F41/100000</f>
        <v/>
      </c>
    </row>
    <row r="42">
      <c r="A42" s="40" t="inlineStr">
        <is>
          <t>Infrastructure</t>
        </is>
      </c>
      <c r="B42" s="40" t="inlineStr">
        <is>
          <t>Infrastructure Internship and School Safety Zone</t>
        </is>
      </c>
      <c r="C42" s="40" t="inlineStr">
        <is>
          <t>1. Infrastructure Internship</t>
        </is>
      </c>
      <c r="D42" s="40" t="inlineStr">
        <is>
          <t>Outreach &amp; Mobilization (College Chapters)</t>
        </is>
      </c>
      <c r="E42" s="41" t="inlineStr">
        <is>
          <t>Promotional materials, travel, virtual meets (Outreach activities in atleast 10 colleges: 15000*10)</t>
        </is>
      </c>
      <c r="F42" s="42" t="n">
        <v>150000</v>
      </c>
      <c r="G42" s="43">
        <f>F42/100000</f>
        <v/>
      </c>
    </row>
    <row r="43">
      <c r="A43" s="36" t="inlineStr">
        <is>
          <t>Infrastructure</t>
        </is>
      </c>
      <c r="B43" s="36" t="inlineStr">
        <is>
          <t>Infrastructure Internship and School Safety Zone</t>
        </is>
      </c>
      <c r="C43" s="36" t="inlineStr">
        <is>
          <t>1. Infrastructure Internship</t>
        </is>
      </c>
      <c r="D43" s="36" t="inlineStr">
        <is>
          <t>Expert training Sessions for interns</t>
        </is>
      </c>
      <c r="E43" s="37" t="inlineStr">
        <is>
          <t>4–6 sessions incl. experts, logistics, speaker honorariums</t>
        </is>
      </c>
      <c r="F43" s="38" t="n">
        <v>150000</v>
      </c>
      <c r="G43" s="39">
        <f>F43/100000</f>
        <v/>
      </c>
    </row>
    <row r="44">
      <c r="A44" s="40" t="inlineStr">
        <is>
          <t>Infrastructure</t>
        </is>
      </c>
      <c r="B44" s="40" t="inlineStr">
        <is>
          <t>Infrastructure Internship and School Safety Zone</t>
        </is>
      </c>
      <c r="C44" s="40" t="inlineStr">
        <is>
          <t>1. Infrastructure Internship</t>
        </is>
      </c>
      <c r="D44" s="40" t="inlineStr">
        <is>
          <t>Expert Mentors for Review</t>
        </is>
      </c>
      <c r="E44" s="41" t="inlineStr">
        <is>
          <t>5–6 domain experts across civil engineering/urban planning (20000*5)</t>
        </is>
      </c>
      <c r="F44" s="42" t="n">
        <v>100000</v>
      </c>
      <c r="G44" s="43">
        <f>F44/100000</f>
        <v/>
      </c>
    </row>
    <row r="45">
      <c r="A45" s="36" t="inlineStr">
        <is>
          <t>Infrastructure</t>
        </is>
      </c>
      <c r="B45" s="36" t="inlineStr">
        <is>
          <t>Infrastructure Internship and School Safety Zone</t>
        </is>
      </c>
      <c r="C45" s="36" t="inlineStr">
        <is>
          <t>1. Infrastructure Internship</t>
        </is>
      </c>
      <c r="D45" s="36" t="inlineStr">
        <is>
          <t>Prize for top 5 team</t>
        </is>
      </c>
      <c r="E45" s="37" t="inlineStr">
        <is>
          <t>Prize for teams getting approval (5*50000)</t>
        </is>
      </c>
      <c r="F45" s="38" t="n">
        <v>250000</v>
      </c>
      <c r="G45" s="39">
        <f>F45/100000</f>
        <v/>
      </c>
    </row>
    <row r="46">
      <c r="A46" s="40" t="inlineStr">
        <is>
          <t>Infrastructure</t>
        </is>
      </c>
      <c r="B46" s="40" t="inlineStr">
        <is>
          <t>Infrastructure Internship and School Safety Zone</t>
        </is>
      </c>
      <c r="C46" s="40" t="inlineStr">
        <is>
          <t>1. Infrastructure Internship</t>
        </is>
      </c>
      <c r="D46" s="40" t="inlineStr">
        <is>
          <t>Merchandise for intern teams</t>
        </is>
      </c>
      <c r="E46" s="41" t="inlineStr">
        <is>
          <t>Tshirts, IDs, Swags for intern team (50 teams * 4 people per team * 250)</t>
        </is>
      </c>
      <c r="F46" s="42" t="n">
        <v>50000</v>
      </c>
      <c r="G46" s="43">
        <f>F46/100000</f>
        <v/>
      </c>
    </row>
    <row r="47">
      <c r="A47" s="36" t="inlineStr">
        <is>
          <t>Infrastructure</t>
        </is>
      </c>
      <c r="B47" s="36" t="inlineStr">
        <is>
          <t>Infrastructure Internship and School Safety Zone</t>
        </is>
      </c>
      <c r="C47" s="36" t="inlineStr">
        <is>
          <t>1. Infrastructure Internship</t>
        </is>
      </c>
      <c r="D47" s="36" t="inlineStr">
        <is>
          <t>Travel reimbursement for interns</t>
        </is>
      </c>
      <c r="E47" s="37" t="inlineStr">
        <is>
          <t>Travel to meet with authorities, location survey (2000 per team * 50)</t>
        </is>
      </c>
      <c r="F47" s="38" t="n">
        <v>100000</v>
      </c>
      <c r="G47" s="39">
        <f>F47/100000</f>
        <v/>
      </c>
    </row>
    <row r="48">
      <c r="A48" s="40" t="inlineStr">
        <is>
          <t>Infrastructure</t>
        </is>
      </c>
      <c r="B48" s="40" t="inlineStr">
        <is>
          <t>Infrastructure Internship and School Safety Zone</t>
        </is>
      </c>
      <c r="C48" s="40" t="inlineStr">
        <is>
          <t>1. Infrastructure Internship</t>
        </is>
      </c>
      <c r="D48" s="40" t="inlineStr">
        <is>
          <t>Report Writing + Visuals</t>
        </is>
      </c>
      <c r="E48" s="41" t="inlineStr">
        <is>
          <t>Internal: Templates, infographics, map-based visuals, final doc formatting</t>
        </is>
      </c>
      <c r="F48" s="42" t="n">
        <v>0</v>
      </c>
      <c r="G48" s="43">
        <f>F48/100000</f>
        <v/>
      </c>
    </row>
    <row r="49">
      <c r="A49" s="36" t="inlineStr">
        <is>
          <t>Infrastructure</t>
        </is>
      </c>
      <c r="B49" s="36" t="inlineStr">
        <is>
          <t>Infrastructure Internship and School Safety Zone</t>
        </is>
      </c>
      <c r="C49" s="36" t="inlineStr">
        <is>
          <t>1. Infrastructure Internship</t>
        </is>
      </c>
      <c r="D49" s="36" t="inlineStr">
        <is>
          <t>Documentation (Photography, Video, Case Studies)</t>
        </is>
      </c>
      <c r="E49" s="37" t="inlineStr">
        <is>
          <t>Visual storytelling of project journey: External vendor</t>
        </is>
      </c>
      <c r="F49" s="38" t="n">
        <v>70000</v>
      </c>
      <c r="G49" s="39">
        <f>F49/100000</f>
        <v/>
      </c>
    </row>
    <row r="50">
      <c r="A50" s="40" t="inlineStr">
        <is>
          <t>Infrastructure</t>
        </is>
      </c>
      <c r="B50" s="40" t="inlineStr">
        <is>
          <t>Infrastructure Internship and School Safety Zone</t>
        </is>
      </c>
      <c r="C50" s="40" t="inlineStr">
        <is>
          <t>1. Infrastructure Internship</t>
        </is>
      </c>
      <c r="D50" s="40" t="inlineStr">
        <is>
          <t>Internship Platform Setup</t>
        </is>
      </c>
      <c r="E50" s="41" t="inlineStr">
        <is>
          <t>Website/module for applications, resources, dashboard: Capability to be leveraged form outside</t>
        </is>
      </c>
      <c r="F50" s="42" t="n">
        <v>50000</v>
      </c>
      <c r="G50" s="43">
        <f>F50/100000</f>
        <v/>
      </c>
    </row>
    <row r="51">
      <c r="A51" s="36" t="inlineStr">
        <is>
          <t>Infrastructure</t>
        </is>
      </c>
      <c r="B51" s="36" t="inlineStr">
        <is>
          <t>Infrastructure Internship and School Safety Zone</t>
        </is>
      </c>
      <c r="C51" s="36" t="inlineStr">
        <is>
          <t>2. Government Engagement &amp; Advocacy</t>
        </is>
      </c>
      <c r="D51" s="36" t="inlineStr">
        <is>
          <t>Stakeholder Engagement</t>
        </is>
      </c>
      <c r="E51" s="37" t="inlineStr">
        <is>
          <t>Core team travel, Meetings with city authorities to pitch priority solutions</t>
        </is>
      </c>
      <c r="F51" s="38" t="n">
        <v>70000</v>
      </c>
      <c r="G51" s="39">
        <f>F51/100000</f>
        <v/>
      </c>
    </row>
    <row r="52">
      <c r="A52" s="40" t="inlineStr">
        <is>
          <t>Infrastructure</t>
        </is>
      </c>
      <c r="B52" s="40" t="inlineStr">
        <is>
          <t>Infrastructure Internship and School Safety Zone</t>
        </is>
      </c>
      <c r="C52" s="40" t="inlineStr">
        <is>
          <t>2. Government Engagement &amp; Advocacy</t>
        </is>
      </c>
      <c r="D52" s="40" t="inlineStr">
        <is>
          <t>Follow-up Field Visits for Implementation Pitches</t>
        </is>
      </c>
      <c r="E52" s="41" t="inlineStr">
        <is>
          <t>Transport + survey of priority hotspot follow-ups (10*20000)</t>
        </is>
      </c>
      <c r="F52" s="42" t="n">
        <v>200000</v>
      </c>
      <c r="G52" s="43">
        <f>F52/100000</f>
        <v/>
      </c>
    </row>
    <row r="53">
      <c r="A53" s="36" t="inlineStr">
        <is>
          <t>Infrastructure</t>
        </is>
      </c>
      <c r="B53" s="36" t="inlineStr">
        <is>
          <t>Infrastructure Internship and School Safety Zone</t>
        </is>
      </c>
      <c r="C53" s="36" t="inlineStr">
        <is>
          <t>2. Government Engagement &amp; Advocacy</t>
        </is>
      </c>
      <c r="D53" s="36" t="inlineStr">
        <is>
          <t>Communication Collaterals</t>
        </is>
      </c>
      <c r="E53" s="37" t="inlineStr">
        <is>
          <t>Printing ot report, posters, briefs, pitch decks, public display panels</t>
        </is>
      </c>
      <c r="F53" s="38" t="n">
        <v>60000</v>
      </c>
      <c r="G53" s="39">
        <f>F53/100000</f>
        <v/>
      </c>
    </row>
    <row r="54">
      <c r="A54" s="40" t="inlineStr">
        <is>
          <t>Infrastructure</t>
        </is>
      </c>
      <c r="B54" s="40" t="inlineStr">
        <is>
          <t>Infrastructure Internship and School Safety Zone</t>
        </is>
      </c>
      <c r="C54" s="40" t="inlineStr">
        <is>
          <t>3. Safe School Zone – Pilots</t>
        </is>
      </c>
      <c r="D54" s="40" t="inlineStr">
        <is>
          <t>Site assessment (Survey of 20 schools in delhi)</t>
        </is>
      </c>
      <c r="E54" s="41" t="inlineStr">
        <is>
          <t>Survey to identify infrastructural issues to create safer school zones (2 surveyors for 10 days (2*10*2000) + Travel and refreshement cost (2*1000*10))</t>
        </is>
      </c>
      <c r="F54" s="42" t="n">
        <v>60000</v>
      </c>
      <c r="G54" s="43">
        <f>F54/100000</f>
        <v/>
      </c>
    </row>
    <row r="55">
      <c r="A55" s="36" t="inlineStr">
        <is>
          <t>Infrastructure</t>
        </is>
      </c>
      <c r="B55" s="36" t="inlineStr">
        <is>
          <t>Infrastructure Internship and School Safety Zone</t>
        </is>
      </c>
      <c r="C55" s="36" t="inlineStr">
        <is>
          <t>3. Safe School Zone – Pilots</t>
        </is>
      </c>
      <c r="D55" s="36" t="inlineStr">
        <is>
          <t>Community engagement</t>
        </is>
      </c>
      <c r="E55" s="37" t="inlineStr">
        <is>
          <t>Community/staff/parent engagement, Interviews and Honorarium (50*2000)</t>
        </is>
      </c>
      <c r="F55" s="38" t="n">
        <v>100000</v>
      </c>
      <c r="G55" s="39">
        <f>F55/100000</f>
        <v/>
      </c>
    </row>
    <row r="56">
      <c r="A56" s="40" t="inlineStr">
        <is>
          <t>Infrastructure</t>
        </is>
      </c>
      <c r="B56" s="40" t="inlineStr">
        <is>
          <t>Infrastructure Internship and School Safety Zone</t>
        </is>
      </c>
      <c r="C56" s="40" t="inlineStr">
        <is>
          <t>3. Safe School Zone – Pilots</t>
        </is>
      </c>
      <c r="D56" s="40" t="inlineStr">
        <is>
          <t>Infrastructure Implementation (2 Schools)</t>
        </is>
      </c>
      <c r="E56" s="41" t="inlineStr">
        <is>
          <t>Markings, barricades, signage, paint, crossing zones, minor civil works</t>
        </is>
      </c>
      <c r="F56" s="42" t="n">
        <v>300000</v>
      </c>
      <c r="G56" s="43">
        <f>F56/100000</f>
        <v/>
      </c>
    </row>
    <row r="57">
      <c r="A57" s="36" t="inlineStr">
        <is>
          <t>Infrastructure</t>
        </is>
      </c>
      <c r="B57" s="36" t="inlineStr">
        <is>
          <t>Infrastructure Internship and School Safety Zone</t>
        </is>
      </c>
      <c r="C57" s="36" t="inlineStr">
        <is>
          <t>3. Safe School Zone – Pilots</t>
        </is>
      </c>
      <c r="D57" s="36" t="inlineStr">
        <is>
          <t>Student Awareness Campaigns</t>
        </is>
      </c>
      <c r="E57" s="37" t="inlineStr">
        <is>
          <t>Posters, safety education sessions, games, events in schools</t>
        </is>
      </c>
      <c r="F57" s="38" t="n">
        <v>40000</v>
      </c>
      <c r="G57" s="39">
        <f>F57/100000</f>
        <v/>
      </c>
    </row>
    <row r="58">
      <c r="A58" s="40" t="inlineStr">
        <is>
          <t>Infrastructure</t>
        </is>
      </c>
      <c r="B58" s="40" t="inlineStr">
        <is>
          <t>Infrastructure Internship and School Safety Zone</t>
        </is>
      </c>
      <c r="C58" s="40" t="inlineStr">
        <is>
          <t>3. Safe School Zone – Pilots</t>
        </is>
      </c>
      <c r="D58" s="40" t="inlineStr">
        <is>
          <t>Endline Assessment of 2 schools (After 4 months)</t>
        </is>
      </c>
      <c r="E58" s="41" t="inlineStr">
        <is>
          <t>Safety audit, visual survey, behavior check interviews</t>
        </is>
      </c>
      <c r="F58" s="42" t="n">
        <v>50000</v>
      </c>
      <c r="G58" s="43">
        <f>F58/100000</f>
        <v/>
      </c>
    </row>
    <row r="59">
      <c r="A59" s="36" t="inlineStr">
        <is>
          <t>Technology</t>
        </is>
      </c>
      <c r="B59" s="36" t="inlineStr">
        <is>
          <t>Collaboration with Google to influence user behaviour using maps</t>
        </is>
      </c>
      <c r="C59" s="36" t="inlineStr">
        <is>
          <t>1. Research, Behavour mapping and data preparation</t>
        </is>
      </c>
      <c r="D59" s="36" t="inlineStr">
        <is>
          <t>Road Behavior Mapping + Use Case Research</t>
        </is>
      </c>
      <c r="E59" s="37" t="inlineStr">
        <is>
          <t>Studying driver behavior patterns (Survey of 500 drivers across demographics - Offline and virtual: 500*INR 350), Use case research and validations through focus group discussions (INR 25K)</t>
        </is>
      </c>
      <c r="F59" s="38" t="n">
        <v>200000</v>
      </c>
      <c r="G59" s="39">
        <f>F59/100000</f>
        <v/>
      </c>
    </row>
    <row r="60">
      <c r="A60" s="40" t="inlineStr">
        <is>
          <t>Technology</t>
        </is>
      </c>
      <c r="B60" s="40" t="inlineStr">
        <is>
          <t>Collaboration with Google to influence user behaviour using maps</t>
        </is>
      </c>
      <c r="C60" s="40" t="inlineStr">
        <is>
          <t>1. Research, Behavour mapping and data preparation</t>
        </is>
      </c>
      <c r="D60" s="40" t="inlineStr">
        <is>
          <t>Stakeholder Consultation Event</t>
        </is>
      </c>
      <c r="E60" s="41" t="inlineStr">
        <is>
          <t>Roundtable discussion or interviews with traffic police, transport experts, Google reps : 100 people (Venue Cost and Event logistics: 50k, Refreshments and Food: 50k, Merchandize, Momentos: 50k</t>
        </is>
      </c>
      <c r="F60" s="42" t="n">
        <v>75000</v>
      </c>
      <c r="G60" s="43">
        <f>F60/100000</f>
        <v/>
      </c>
    </row>
    <row r="61">
      <c r="A61" s="36" t="inlineStr">
        <is>
          <t>Technology</t>
        </is>
      </c>
      <c r="B61" s="36" t="inlineStr">
        <is>
          <t>Collaboration with Google to influence user behaviour using maps</t>
        </is>
      </c>
      <c r="C61" s="36" t="inlineStr">
        <is>
          <t>2. Nudge &amp; Messaging Strategy</t>
        </is>
      </c>
      <c r="D61" s="36" t="inlineStr">
        <is>
          <t>Nudge Design for Google Maps (Text/Audio Prompts)</t>
        </is>
      </c>
      <c r="E61" s="37" t="inlineStr">
        <is>
          <t>In-house</t>
        </is>
      </c>
      <c r="F61" s="38" t="n">
        <v>0</v>
      </c>
      <c r="G61" s="39">
        <f>F61/100000</f>
        <v/>
      </c>
    </row>
    <row r="62">
      <c r="A62" s="40" t="inlineStr">
        <is>
          <t>Technology</t>
        </is>
      </c>
      <c r="B62" s="40" t="inlineStr">
        <is>
          <t>Collaboration with Google to influence user behaviour using maps</t>
        </is>
      </c>
      <c r="C62" s="40" t="inlineStr">
        <is>
          <t>2. Nudge &amp; Messaging Strategy</t>
        </is>
      </c>
      <c r="D62" s="40" t="inlineStr">
        <is>
          <t>Legal &amp; Ethical Review</t>
        </is>
      </c>
      <c r="E62" s="41" t="inlineStr">
        <is>
          <t>In-house</t>
        </is>
      </c>
      <c r="F62" s="42" t="n">
        <v>0</v>
      </c>
      <c r="G62" s="43">
        <f>F62/100000</f>
        <v/>
      </c>
    </row>
    <row r="63">
      <c r="A63" s="36" t="inlineStr">
        <is>
          <t>Technology</t>
        </is>
      </c>
      <c r="B63" s="36" t="inlineStr">
        <is>
          <t>Collaboration with Google to influence user behaviour using maps</t>
        </is>
      </c>
      <c r="C63" s="36" t="inlineStr">
        <is>
          <t>2. Nudge &amp; Messaging Strategy</t>
        </is>
      </c>
      <c r="D63" s="36" t="inlineStr">
        <is>
          <t>Multilingual Messaging Adaptation (5 languages)</t>
        </is>
      </c>
      <c r="E63" s="37" t="inlineStr">
        <is>
          <t>In-house</t>
        </is>
      </c>
      <c r="F63" s="38" t="n">
        <v>0</v>
      </c>
      <c r="G63" s="39">
        <f>F63/100000</f>
        <v/>
      </c>
    </row>
    <row r="64">
      <c r="A64" s="40" t="inlineStr">
        <is>
          <t>Technology</t>
        </is>
      </c>
      <c r="B64" s="40" t="inlineStr">
        <is>
          <t>Collaboration with Google to influence user behaviour using maps</t>
        </is>
      </c>
      <c r="C64" s="40" t="inlineStr">
        <is>
          <t>3. Coordination &amp; Liaison with Google</t>
        </is>
      </c>
      <c r="D64" s="40" t="inlineStr">
        <is>
          <t>Coordination Support (2 months)</t>
        </is>
      </c>
      <c r="E64" s="41" t="inlineStr">
        <is>
          <t>Travel, logistics</t>
        </is>
      </c>
      <c r="F64" s="42" t="n">
        <v>25000</v>
      </c>
      <c r="G64" s="43">
        <f>F64/100000</f>
        <v/>
      </c>
    </row>
    <row r="65">
      <c r="A65" s="36" t="inlineStr">
        <is>
          <t>Technology</t>
        </is>
      </c>
      <c r="B65" s="36" t="inlineStr">
        <is>
          <t>Collaboration with Google to influence user behaviour using maps</t>
        </is>
      </c>
      <c r="C65" s="36" t="inlineStr">
        <is>
          <t>3. Coordination &amp; Liaison with Google</t>
        </is>
      </c>
      <c r="D65" s="36" t="inlineStr">
        <is>
          <t>Documentation of Process &amp; Materials</t>
        </is>
      </c>
      <c r="E65" s="37" t="inlineStr">
        <is>
          <t>In-house</t>
        </is>
      </c>
      <c r="F65" s="38" t="n">
        <v>0</v>
      </c>
      <c r="G65" s="39">
        <f>F65/100000</f>
        <v/>
      </c>
    </row>
    <row r="66">
      <c r="A66" s="40" t="inlineStr">
        <is>
          <t>Technology</t>
        </is>
      </c>
      <c r="B66" s="40" t="inlineStr">
        <is>
          <t>Community Action via Mobile App</t>
        </is>
      </c>
      <c r="C66" s="40" t="inlineStr">
        <is>
          <t>1. App Features – Strategy &amp; Coordination</t>
        </is>
      </c>
      <c r="D66" s="40" t="inlineStr">
        <is>
          <t>Feature Planning &amp; Strategy (Cross-team)</t>
        </is>
      </c>
      <c r="E66" s="41" t="inlineStr">
        <is>
          <t>Internal coordination, user flow, data tagging, impact goals — led by product/CSR team (In-house)</t>
        </is>
      </c>
      <c r="F66" s="42" t="n">
        <v>0</v>
      </c>
      <c r="G66" s="43">
        <f>F66/100000</f>
        <v/>
      </c>
    </row>
    <row r="67">
      <c r="A67" s="36" t="inlineStr">
        <is>
          <t>Technology</t>
        </is>
      </c>
      <c r="B67" s="36" t="inlineStr">
        <is>
          <t>Community Action via Mobile App</t>
        </is>
      </c>
      <c r="C67" s="36" t="inlineStr">
        <is>
          <t>1. App Features – Strategy &amp; Coordination</t>
        </is>
      </c>
      <c r="D67" s="36" t="inlineStr">
        <is>
          <t>Feature design and development cost</t>
        </is>
      </c>
      <c r="E67" s="37" t="inlineStr">
        <is>
          <t>To be developed in-house by CARS24 team</t>
        </is>
      </c>
      <c r="F67" s="38" t="n">
        <v>0</v>
      </c>
      <c r="G67" s="39">
        <f>F67/100000</f>
        <v/>
      </c>
    </row>
    <row r="68">
      <c r="A68" s="40" t="inlineStr">
        <is>
          <t>Technology</t>
        </is>
      </c>
      <c r="B68" s="40" t="inlineStr">
        <is>
          <t>Community Action via Mobile App</t>
        </is>
      </c>
      <c r="C68" s="40" t="inlineStr">
        <is>
          <t>2. Liasioning for data</t>
        </is>
      </c>
      <c r="D68" s="40" t="inlineStr">
        <is>
          <t>Data Collection Framework</t>
        </is>
      </c>
      <c r="E68" s="41" t="inlineStr">
        <is>
          <t>Travel and Liasion time cost for compilation of Good samaritan data (Partnership with AIIMS, State police)</t>
        </is>
      </c>
      <c r="F68" s="42" t="n">
        <v>50000</v>
      </c>
      <c r="G68" s="43">
        <f>F68/100000</f>
        <v/>
      </c>
    </row>
    <row r="69">
      <c r="A69" s="36" t="inlineStr">
        <is>
          <t>Technology</t>
        </is>
      </c>
      <c r="B69" s="36" t="inlineStr">
        <is>
          <t>Community Action via Mobile App</t>
        </is>
      </c>
      <c r="C69" s="36" t="inlineStr">
        <is>
          <t>2. Liasioning for data</t>
        </is>
      </c>
      <c r="D69" s="36" t="inlineStr">
        <is>
          <t>Partnerships with authorities</t>
        </is>
      </c>
      <c r="E69" s="37" t="inlineStr">
        <is>
          <t>Taking action on collected data (Pothole and infrastructural issue reporting, violation reporting) (20-25 meetings in delhi, 10-15 outstation meetings)</t>
        </is>
      </c>
      <c r="F69" s="38" t="n">
        <v>250000</v>
      </c>
      <c r="G69" s="39">
        <f>F69/100000</f>
        <v/>
      </c>
    </row>
    <row r="70">
      <c r="A70" s="40" t="inlineStr">
        <is>
          <t>Technology</t>
        </is>
      </c>
      <c r="B70" s="40" t="inlineStr">
        <is>
          <t>Community Action via Mobile App</t>
        </is>
      </c>
      <c r="C70" s="40" t="inlineStr">
        <is>
          <t>2. Liasioning for data</t>
        </is>
      </c>
      <c r="D70" s="40" t="inlineStr">
        <is>
          <t>Impact Reports for Partners (Police/Hospitals)</t>
        </is>
      </c>
      <c r="E70" s="41" t="inlineStr">
        <is>
          <t>Quarterly report PDFs (with maps, data visuals, insights), Printed updated reports</t>
        </is>
      </c>
      <c r="F70" s="42" t="n">
        <v>80000</v>
      </c>
      <c r="G70" s="43">
        <f>F70/100000</f>
        <v/>
      </c>
    </row>
    <row r="71">
      <c r="A71" s="36" t="inlineStr">
        <is>
          <t>Technology</t>
        </is>
      </c>
      <c r="B71" s="36" t="inlineStr">
        <is>
          <t>Community Action via Mobile App</t>
        </is>
      </c>
      <c r="C71" s="36" t="inlineStr">
        <is>
          <t>3. Content &amp; Storytelling</t>
        </is>
      </c>
      <c r="D71" s="36" t="inlineStr">
        <is>
          <t>Explainer Videos (App features)</t>
        </is>
      </c>
      <c r="E71" s="37" t="inlineStr">
        <is>
          <t>5–6 short videos for each feature (reporting feature, nudges, rewards)</t>
        </is>
      </c>
      <c r="F71" s="38" t="n">
        <v>120000</v>
      </c>
      <c r="G71" s="39">
        <f>F71/100000</f>
        <v/>
      </c>
    </row>
    <row r="72">
      <c r="A72" s="40" t="inlineStr">
        <is>
          <t>Technology</t>
        </is>
      </c>
      <c r="B72" s="40" t="inlineStr">
        <is>
          <t>Community Action via Mobile App</t>
        </is>
      </c>
      <c r="C72" s="40" t="inlineStr">
        <is>
          <t>3. Content &amp; Storytelling</t>
        </is>
      </c>
      <c r="D72" s="40" t="inlineStr">
        <is>
          <t>Good Samaritan Stories: Research &amp; Writing</t>
        </is>
      </c>
      <c r="E72" s="41" t="inlineStr">
        <is>
          <t>In house - obtained from previous activities: 12 stories/year; interviews, writing, review</t>
        </is>
      </c>
      <c r="F72" s="42" t="n">
        <v>0</v>
      </c>
      <c r="G72" s="43">
        <f>F72/100000</f>
        <v/>
      </c>
    </row>
    <row r="73">
      <c r="A73" s="36" t="inlineStr">
        <is>
          <t>Technology</t>
        </is>
      </c>
      <c r="B73" s="36" t="inlineStr">
        <is>
          <t>Community Action via Mobile App</t>
        </is>
      </c>
      <c r="C73" s="36" t="inlineStr">
        <is>
          <t>4. Incentives &amp; Recognition</t>
        </is>
      </c>
      <c r="D73" s="36" t="inlineStr">
        <is>
          <t>User Reward Mechanism (Vouchers, Coupons)</t>
        </is>
      </c>
      <c r="E73" s="37" t="inlineStr">
        <is>
          <t>For verified reports: ₹1000/user x 500 users</t>
        </is>
      </c>
      <c r="F73" s="38" t="n">
        <v>500000</v>
      </c>
      <c r="G73" s="39">
        <f>F73/100000</f>
        <v/>
      </c>
    </row>
    <row r="74">
      <c r="A74" s="40" t="inlineStr">
        <is>
          <t>Technology</t>
        </is>
      </c>
      <c r="B74" s="40" t="inlineStr">
        <is>
          <t>Community Action via Mobile App</t>
        </is>
      </c>
      <c r="C74" s="40" t="inlineStr">
        <is>
          <t>4. Incentives &amp; Recognition</t>
        </is>
      </c>
      <c r="D74" s="40" t="inlineStr">
        <is>
          <t>Good Samaritan Gifting Program Support</t>
        </is>
      </c>
      <c r="E74" s="41" t="inlineStr">
        <is>
          <t>Logistics/coordination for gifting vehicles (done by brand, but support ops/logistics)</t>
        </is>
      </c>
      <c r="F74" s="42" t="n">
        <v>100000</v>
      </c>
      <c r="G74" s="43">
        <f>F74/100000</f>
        <v/>
      </c>
    </row>
    <row r="75">
      <c r="A75" s="36" t="inlineStr">
        <is>
          <t>Technology</t>
        </is>
      </c>
      <c r="B75" s="36" t="inlineStr">
        <is>
          <t>Community Action via Mobile App</t>
        </is>
      </c>
      <c r="C75" s="36" t="inlineStr">
        <is>
          <t>5. Marketing &amp; Promotional Outreach</t>
        </is>
      </c>
      <c r="D75" s="36" t="inlineStr">
        <is>
          <t>Video Ads, digital advocacy, Physical Posters, Marketing (CARS24 locations, garages)</t>
        </is>
      </c>
      <c r="E75" s="37" t="inlineStr">
        <is>
          <t>Awareness material on how to report via the app (Influencer partnerships, Partnership with Policybazar, Uber, Ola, blinkit, Zepto for In-app ads)</t>
        </is>
      </c>
      <c r="F75" s="38" t="n">
        <v>700000</v>
      </c>
      <c r="G75" s="39">
        <f>F75/100000</f>
        <v/>
      </c>
    </row>
    <row r="76">
      <c r="A76" s="40" t="inlineStr">
        <is>
          <t>Technology</t>
        </is>
      </c>
      <c r="B76" s="40" t="inlineStr">
        <is>
          <t>Community Action via Mobile App</t>
        </is>
      </c>
      <c r="C76" s="40" t="inlineStr">
        <is>
          <t>5. Marketing &amp; Promotional Outreach</t>
        </is>
      </c>
      <c r="D76" s="40" t="inlineStr">
        <is>
          <t>In-app banners + Push Campaigns</t>
        </is>
      </c>
      <c r="E76" s="41" t="inlineStr">
        <is>
          <t>Campaign assets + 3 internal pushes; coordinated with in-house team</t>
        </is>
      </c>
      <c r="F76" s="42" t="n">
        <v>0</v>
      </c>
      <c r="G76" s="43">
        <f>F76/100000</f>
        <v/>
      </c>
    </row>
    <row r="77">
      <c r="A77" s="36" t="inlineStr">
        <is>
          <t>Technology</t>
        </is>
      </c>
      <c r="B77" s="36" t="inlineStr">
        <is>
          <t>Community Action via Mobile App</t>
        </is>
      </c>
      <c r="C77" s="36" t="inlineStr">
        <is>
          <t>5. Marketing &amp; Promotional Outreach</t>
        </is>
      </c>
      <c r="D77" s="36" t="inlineStr">
        <is>
          <t>Social Media Amplification</t>
        </is>
      </c>
      <c r="E77" s="37" t="inlineStr">
        <is>
          <t>4 posts per quarter; influencer amplification + performance boost</t>
        </is>
      </c>
      <c r="F77" s="38" t="n">
        <v>0</v>
      </c>
      <c r="G77" s="39">
        <f>F77/100000</f>
        <v/>
      </c>
    </row>
    <row r="78">
      <c r="A78" s="40" t="inlineStr">
        <is>
          <t>Technology</t>
        </is>
      </c>
      <c r="B78" s="40" t="inlineStr">
        <is>
          <t>National Level Road Safety International Hackathon (Marketing activity / Promoting use of tech of road safety)</t>
        </is>
      </c>
      <c r="C78" s="40" t="inlineStr">
        <is>
          <t>1. Pre-Hackathon Planning &amp; Outreach</t>
        </is>
      </c>
      <c r="D78" s="40" t="inlineStr">
        <is>
          <t>Digital Outreach Campaign</t>
        </is>
      </c>
      <c r="E78" s="41" t="inlineStr">
        <is>
          <t>Paid ads + organic promos (LinkedIn, Insta, Twitter)</t>
        </is>
      </c>
      <c r="F78" s="42" t="n">
        <v>150000</v>
      </c>
      <c r="G78" s="43">
        <f>F78/100000</f>
        <v/>
      </c>
    </row>
    <row r="79">
      <c r="A79" s="36" t="inlineStr">
        <is>
          <t>Technology</t>
        </is>
      </c>
      <c r="B79" s="36" t="inlineStr">
        <is>
          <t>National Level Road Safety International Hackathon (Marketing activity / Promoting use of tech of road safety)</t>
        </is>
      </c>
      <c r="C79" s="36" t="inlineStr">
        <is>
          <t>1. Pre-Hackathon Planning &amp; Outreach</t>
        </is>
      </c>
      <c r="D79" s="36" t="inlineStr">
        <is>
          <t>Campus Outreach &amp; Student Engagement</t>
        </is>
      </c>
      <c r="E79" s="37" t="inlineStr">
        <is>
          <t>Materials, webinars, mobilization of tech societies, campus events (leveraging IRSC college chapters)</t>
        </is>
      </c>
      <c r="F79" s="38" t="n">
        <v>50000</v>
      </c>
      <c r="G79" s="39">
        <f>F79/100000</f>
        <v/>
      </c>
    </row>
    <row r="80">
      <c r="A80" s="40" t="inlineStr">
        <is>
          <t>Technology</t>
        </is>
      </c>
      <c r="B80" s="40" t="inlineStr">
        <is>
          <t>National Level Road Safety International Hackathon (Marketing activity / Promoting use of tech of road safety)</t>
        </is>
      </c>
      <c r="C80" s="40" t="inlineStr">
        <is>
          <t>1. Pre-Hackathon Planning &amp; Outreach</t>
        </is>
      </c>
      <c r="D80" s="40" t="inlineStr">
        <is>
          <t>Creative &amp; Branding Assets</t>
        </is>
      </c>
      <c r="E80" s="41" t="inlineStr">
        <is>
          <t>Logo, visual identity, theme design, hackathon kit design (External vendor involvement)</t>
        </is>
      </c>
      <c r="F80" s="42" t="n">
        <v>20000</v>
      </c>
      <c r="G80" s="43">
        <f>F80/100000</f>
        <v/>
      </c>
    </row>
    <row r="81">
      <c r="A81" s="36" t="inlineStr">
        <is>
          <t>Technology</t>
        </is>
      </c>
      <c r="B81" s="36" t="inlineStr">
        <is>
          <t>National Level Road Safety International Hackathon (Marketing activity / Promoting use of tech of road safety)</t>
        </is>
      </c>
      <c r="C81" s="36" t="inlineStr">
        <is>
          <t>2. Zonal Hackathons (2 IITs)</t>
        </is>
      </c>
      <c r="D81" s="36" t="inlineStr">
        <is>
          <t>Food &amp; Refreshments</t>
        </is>
      </c>
      <c r="E81" s="37" t="inlineStr">
        <is>
          <t>₹1L per event for ~100–120 participants</t>
        </is>
      </c>
      <c r="F81" s="38" t="n">
        <v>200000</v>
      </c>
      <c r="G81" s="39">
        <f>F81/100000</f>
        <v/>
      </c>
    </row>
    <row r="82">
      <c r="A82" s="40" t="inlineStr">
        <is>
          <t>Technology</t>
        </is>
      </c>
      <c r="B82" s="40" t="inlineStr">
        <is>
          <t>National Level Road Safety International Hackathon (Marketing activity / Promoting use of tech of road safety)</t>
        </is>
      </c>
      <c r="C82" s="40" t="inlineStr">
        <is>
          <t>2. Zonal Hackathons (2 IITs)</t>
        </is>
      </c>
      <c r="D82" s="40" t="inlineStr">
        <is>
          <t>Jury + Mentor Honorariums</t>
        </is>
      </c>
      <c r="E82" s="41" t="inlineStr">
        <is>
          <t>₹25K per expert; 3–4 mentors per zonal event</t>
        </is>
      </c>
      <c r="F82" s="42" t="n">
        <v>200000</v>
      </c>
      <c r="G82" s="43">
        <f>F82/100000</f>
        <v/>
      </c>
    </row>
    <row r="83">
      <c r="A83" s="36" t="inlineStr">
        <is>
          <t>Technology</t>
        </is>
      </c>
      <c r="B83" s="36" t="inlineStr">
        <is>
          <t>National Level Road Safety International Hackathon (Marketing activity / Promoting use of tech of road safety)</t>
        </is>
      </c>
      <c r="C83" s="36" t="inlineStr">
        <is>
          <t>2. Zonal Hackathons (2 IITs)</t>
        </is>
      </c>
      <c r="D83" s="36" t="inlineStr">
        <is>
          <t>Travel and logistics</t>
        </is>
      </c>
      <c r="E83" s="37" t="inlineStr">
        <is>
          <t>For jurors, mentors, and outstation teams for each zone (2*150*2000)</t>
        </is>
      </c>
      <c r="F83" s="38" t="n">
        <v>600000</v>
      </c>
      <c r="G83" s="39">
        <f>F83/100000</f>
        <v/>
      </c>
    </row>
    <row r="84">
      <c r="A84" s="40" t="inlineStr">
        <is>
          <t>Technology</t>
        </is>
      </c>
      <c r="B84" s="40" t="inlineStr">
        <is>
          <t>National Level Road Safety International Hackathon (Marketing activity / Promoting use of tech of road safety)</t>
        </is>
      </c>
      <c r="C84" s="40" t="inlineStr">
        <is>
          <t>2. Zonal Hackathons (2 IITs)</t>
        </is>
      </c>
      <c r="D84" s="40" t="inlineStr">
        <is>
          <t>Venue &amp; Infrastructure (per IIT)</t>
        </is>
      </c>
      <c r="E84" s="41" t="inlineStr">
        <is>
          <t>₹50k x 2 (AV, halls, tech support, printing)</t>
        </is>
      </c>
      <c r="F84" s="42" t="n">
        <v>100000</v>
      </c>
      <c r="G84" s="43">
        <f>F84/100000</f>
        <v/>
      </c>
    </row>
    <row r="85">
      <c r="A85" s="36" t="inlineStr">
        <is>
          <t>Technology</t>
        </is>
      </c>
      <c r="B85" s="36" t="inlineStr">
        <is>
          <t>National Level Road Safety International Hackathon (Marketing activity / Promoting use of tech of road safety)</t>
        </is>
      </c>
      <c r="C85" s="36" t="inlineStr">
        <is>
          <t>3. Grand Finale – National Event</t>
        </is>
      </c>
      <c r="D85" s="36" t="inlineStr">
        <is>
          <t>Travel and logistics for finalists</t>
        </is>
      </c>
      <c r="E85" s="37" t="inlineStr">
        <is>
          <t>Food, travel reimbursements, materials for top 10–12 finalist teams</t>
        </is>
      </c>
      <c r="F85" s="38" t="n">
        <v>200000</v>
      </c>
      <c r="G85" s="39">
        <f>F85/100000</f>
        <v/>
      </c>
    </row>
    <row r="86">
      <c r="A86" s="40" t="inlineStr">
        <is>
          <t>Technology</t>
        </is>
      </c>
      <c r="B86" s="40" t="inlineStr">
        <is>
          <t>National Level Road Safety International Hackathon (Marketing activity / Promoting use of tech of road safety)</t>
        </is>
      </c>
      <c r="C86" s="40" t="inlineStr">
        <is>
          <t>3. Grand Finale – National Event</t>
        </is>
      </c>
      <c r="D86" s="40" t="inlineStr">
        <is>
          <t>Jury + Chief Guests (National Event)</t>
        </is>
      </c>
      <c r="E86" s="41" t="inlineStr">
        <is>
          <t>Travel + honorarium for 5–6 high-level stakeholders</t>
        </is>
      </c>
      <c r="F86" s="42" t="n">
        <v>150000</v>
      </c>
      <c r="G86" s="43">
        <f>F86/100000</f>
        <v/>
      </c>
    </row>
    <row r="87">
      <c r="A87" s="36" t="inlineStr">
        <is>
          <t>Technology</t>
        </is>
      </c>
      <c r="B87" s="36" t="inlineStr">
        <is>
          <t>National Level Road Safety International Hackathon (Marketing activity / Promoting use of tech of road safety)</t>
        </is>
      </c>
      <c r="C87" s="36" t="inlineStr">
        <is>
          <t>3. Grand Finale – National Event</t>
        </is>
      </c>
      <c r="D87" s="36" t="inlineStr">
        <is>
          <t>Venue &amp; Production</t>
        </is>
      </c>
      <c r="E87" s="37" t="inlineStr">
        <is>
          <t>Premium venue (auditorium, LED screens, mics, stage, livestreaming)</t>
        </is>
      </c>
      <c r="F87" s="38" t="n">
        <v>150000</v>
      </c>
      <c r="G87" s="39">
        <f>F87/100000</f>
        <v/>
      </c>
    </row>
    <row r="88">
      <c r="A88" s="40" t="inlineStr">
        <is>
          <t>Technology</t>
        </is>
      </c>
      <c r="B88" s="40" t="inlineStr">
        <is>
          <t>National Level Road Safety International Hackathon (Marketing activity / Promoting use of tech of road safety)</t>
        </is>
      </c>
      <c r="C88" s="40" t="inlineStr">
        <is>
          <t>4. Prizes &amp; Recognition</t>
        </is>
      </c>
      <c r="D88" s="40" t="inlineStr">
        <is>
          <t>Winner Prizes</t>
        </is>
      </c>
      <c r="E88" s="41" t="inlineStr">
        <is>
          <t>1st Prize: ₹5L, 2nd Prize: ₹3L, 3rd Prize: ₹2L</t>
        </is>
      </c>
      <c r="F88" s="42" t="n">
        <v>1000000</v>
      </c>
      <c r="G88" s="43">
        <f>F88/100000</f>
        <v/>
      </c>
    </row>
    <row r="89">
      <c r="A89" s="36" t="inlineStr">
        <is>
          <t>Technology</t>
        </is>
      </c>
      <c r="B89" s="36" t="inlineStr">
        <is>
          <t>National Level Road Safety International Hackathon (Marketing activity / Promoting use of tech of road safety)</t>
        </is>
      </c>
      <c r="C89" s="36" t="inlineStr">
        <is>
          <t>4. Prizes &amp; Recognition</t>
        </is>
      </c>
      <c r="D89" s="36" t="inlineStr">
        <is>
          <t>Zonal Level Awards</t>
        </is>
      </c>
      <c r="E89" s="37" t="inlineStr">
        <is>
          <t>₹2.9L per IIT x 2 events (Top 3 teams + consolation)</t>
        </is>
      </c>
      <c r="F89" s="38" t="n">
        <v>580000</v>
      </c>
      <c r="G89" s="39">
        <f>F89/100000</f>
        <v/>
      </c>
    </row>
    <row r="90">
      <c r="A90" s="40" t="inlineStr">
        <is>
          <t>Technology</t>
        </is>
      </c>
      <c r="B90" s="40" t="inlineStr">
        <is>
          <t>National Level Road Safety International Hackathon (Marketing activity / Promoting use of tech of road safety)</t>
        </is>
      </c>
      <c r="C90" s="40" t="inlineStr">
        <is>
          <t>4. Prizes &amp; Recognition</t>
        </is>
      </c>
      <c r="D90" s="40" t="inlineStr">
        <is>
          <t>Certificates, Medals, Trophies, Merchandise, Hackathon Kit</t>
        </is>
      </c>
      <c r="E90" s="41" t="inlineStr">
        <is>
          <t>For finalists, winners, jury, mentors</t>
        </is>
      </c>
      <c r="F90" s="42" t="n">
        <v>30000</v>
      </c>
      <c r="G90" s="43">
        <f>F90/100000</f>
        <v/>
      </c>
    </row>
    <row r="91">
      <c r="A91" s="36" t="inlineStr">
        <is>
          <t>Technology</t>
        </is>
      </c>
      <c r="B91" s="36" t="inlineStr">
        <is>
          <t>National Level Road Safety International Hackathon (Marketing activity / Promoting use of tech of road safety)</t>
        </is>
      </c>
      <c r="C91" s="36" t="inlineStr">
        <is>
          <t>5. Documentation &amp; Post-Event</t>
        </is>
      </c>
      <c r="D91" s="36" t="inlineStr">
        <is>
          <t>Hackathon Report + Casebook, Video Summaries + Testimonials</t>
        </is>
      </c>
      <c r="E91" s="37" t="inlineStr">
        <is>
          <t>Compilation of top ideas, learnings, project concepts, Short edits from zonal/final, mentor/founder bytes</t>
        </is>
      </c>
      <c r="F91" s="38" t="n">
        <v>50000</v>
      </c>
      <c r="G91" s="39">
        <f>F91/100000</f>
        <v/>
      </c>
    </row>
    <row r="92">
      <c r="A92" s="40" t="inlineStr">
        <is>
          <t>Technology</t>
        </is>
      </c>
      <c r="B92" s="40" t="inlineStr">
        <is>
          <t>National Level Road Safety International Hackathon (Marketing activity / Promoting use of tech of road safety)</t>
        </is>
      </c>
      <c r="C92" s="40" t="inlineStr">
        <is>
          <t>5. Documentation &amp; Post-Event</t>
        </is>
      </c>
      <c r="D92" s="40" t="inlineStr">
        <is>
          <t>Post event marketing</t>
        </is>
      </c>
      <c r="E92" s="41" t="inlineStr">
        <is>
          <t>Partnership with Media houses, broadcasting, Newspaper articles</t>
        </is>
      </c>
      <c r="F92" s="42" t="n">
        <v>200000</v>
      </c>
      <c r="G92" s="43">
        <f>F92/100000</f>
        <v/>
      </c>
    </row>
    <row r="93">
      <c r="A93" s="36" t="inlineStr">
        <is>
          <t>Technology</t>
        </is>
      </c>
      <c r="B93" s="36" t="inlineStr">
        <is>
          <t>Safety API</t>
        </is>
      </c>
      <c r="C93" s="36" t="inlineStr">
        <is>
          <t>1. Product Strategy, User research</t>
        </is>
      </c>
      <c r="D93" s="36" t="inlineStr">
        <is>
          <t>Research for tech Architecture Blueprint</t>
        </is>
      </c>
      <c r="E93" s="37" t="inlineStr">
        <is>
          <t>Sensor mapping, Driver behaviour analysis (for caliberation) - Study for 100 users</t>
        </is>
      </c>
      <c r="F93" s="38" t="n">
        <v>120000</v>
      </c>
      <c r="G93" s="39">
        <f>F93/100000</f>
        <v/>
      </c>
    </row>
    <row r="94">
      <c r="A94" s="40" t="inlineStr">
        <is>
          <t>Technology</t>
        </is>
      </c>
      <c r="B94" s="40" t="inlineStr">
        <is>
          <t>Safety API</t>
        </is>
      </c>
      <c r="C94" s="40" t="inlineStr">
        <is>
          <t>1. Product Strategy, User research</t>
        </is>
      </c>
      <c r="D94" s="40" t="inlineStr">
        <is>
          <t>Data Privacy + Compliance Review</t>
        </is>
      </c>
      <c r="E94" s="41" t="inlineStr">
        <is>
          <t>Legal expertise for Legal + ethical review of user data capture, GDPR/Indian laws</t>
        </is>
      </c>
      <c r="F94" s="42" t="n">
        <v>50000</v>
      </c>
      <c r="G94" s="43">
        <f>F94/100000</f>
        <v/>
      </c>
    </row>
    <row r="95">
      <c r="A95" s="36" t="inlineStr">
        <is>
          <t>Technology</t>
        </is>
      </c>
      <c r="B95" s="36" t="inlineStr">
        <is>
          <t>Safety API</t>
        </is>
      </c>
      <c r="C95" s="36" t="inlineStr">
        <is>
          <t>2. Driving Behavior &amp; Risk Modeling</t>
        </is>
      </c>
      <c r="D95" s="36" t="inlineStr">
        <is>
          <t>Dataset Purchase / Licensing (if needed)</t>
        </is>
      </c>
      <c r="E95" s="37" t="inlineStr">
        <is>
          <t>Open-source + external crash/risk data (if required for model training)</t>
        </is>
      </c>
      <c r="F95" s="38" t="n">
        <v>0</v>
      </c>
      <c r="G95" s="39">
        <f>F95/100000</f>
        <v/>
      </c>
    </row>
    <row r="96">
      <c r="A96" s="40" t="inlineStr">
        <is>
          <t>Technology</t>
        </is>
      </c>
      <c r="B96" s="40" t="inlineStr">
        <is>
          <t>Safety API</t>
        </is>
      </c>
      <c r="C96" s="40" t="inlineStr">
        <is>
          <t>2. Driving Behavior &amp; Risk Modeling</t>
        </is>
      </c>
      <c r="D96" s="40" t="inlineStr">
        <is>
          <t>Data Scientist / ML Consultant</t>
        </is>
      </c>
      <c r="E96" s="41" t="inlineStr">
        <is>
          <t>Model design for phone-based driving event detection (e.g. harsh braking, speeding)</t>
        </is>
      </c>
      <c r="F96" s="42" t="n">
        <v>150000</v>
      </c>
      <c r="G96" s="43">
        <f>F96/100000</f>
        <v/>
      </c>
    </row>
    <row r="97">
      <c r="A97" s="36" t="inlineStr">
        <is>
          <t>Technology</t>
        </is>
      </c>
      <c r="B97" s="36" t="inlineStr">
        <is>
          <t>Safety API</t>
        </is>
      </c>
      <c r="C97" s="36" t="inlineStr">
        <is>
          <t>2. Driving Behavior &amp; Risk Modeling</t>
        </is>
      </c>
      <c r="D97" s="36" t="inlineStr">
        <is>
          <t>Feature Engineering Support</t>
        </is>
      </c>
      <c r="E97" s="37" t="inlineStr">
        <is>
          <t>Hardware support (Translating sensor data into model features (acceleration, gyroscope, GPS))</t>
        </is>
      </c>
      <c r="F97" s="38" t="n">
        <v>150000</v>
      </c>
      <c r="G97" s="39">
        <f>F97/100000</f>
        <v/>
      </c>
    </row>
    <row r="98">
      <c r="A98" s="40" t="inlineStr">
        <is>
          <t>Technology</t>
        </is>
      </c>
      <c r="B98" s="40" t="inlineStr">
        <is>
          <t>Safety API</t>
        </is>
      </c>
      <c r="C98" s="40" t="inlineStr">
        <is>
          <t>3. MVP user Research &amp; Feedback Loops</t>
        </is>
      </c>
      <c r="D98" s="40" t="inlineStr">
        <is>
          <t>Pilot Testing (with CARS24 app users)</t>
        </is>
      </c>
      <c r="E98" s="41" t="inlineStr">
        <is>
          <t>Test cohort: ~50–100 users, feedback, experience mapping (Device setup, data collection)</t>
        </is>
      </c>
      <c r="F98" s="42" t="n">
        <v>300000</v>
      </c>
      <c r="G98" s="43">
        <f>F98/100000</f>
        <v/>
      </c>
    </row>
    <row r="99">
      <c r="A99" s="36" t="inlineStr">
        <is>
          <t>Technology</t>
        </is>
      </c>
      <c r="B99" s="36" t="inlineStr">
        <is>
          <t>Safety API</t>
        </is>
      </c>
      <c r="C99" s="36" t="inlineStr">
        <is>
          <t>3. MVP user Research &amp; Feedback Loops</t>
        </is>
      </c>
      <c r="D99" s="36" t="inlineStr">
        <is>
          <t>Incentives for Pilot Users</t>
        </is>
      </c>
      <c r="E99" s="37" t="inlineStr">
        <is>
          <t>₹1500 x 100 users</t>
        </is>
      </c>
      <c r="F99" s="38" t="n">
        <v>150000</v>
      </c>
      <c r="G99" s="39">
        <f>F99/100000</f>
        <v/>
      </c>
    </row>
    <row r="100">
      <c r="A100" s="40" t="inlineStr">
        <is>
          <t>Technology</t>
        </is>
      </c>
      <c r="B100" s="40" t="inlineStr">
        <is>
          <t>Safekart</t>
        </is>
      </c>
      <c r="C100" s="40" t="inlineStr">
        <is>
          <t>1. User research and scoping</t>
        </is>
      </c>
      <c r="D100" s="40" t="inlineStr">
        <is>
          <t>User research on key pain points</t>
        </is>
      </c>
      <c r="E100" s="41" t="inlineStr">
        <is>
          <t>Study of ~50-100 users across demographics, mapping user journey, identification of key pain points</t>
        </is>
      </c>
      <c r="F100" s="42" t="n">
        <v>50000</v>
      </c>
      <c r="G100" s="43">
        <f>F100/100000</f>
        <v/>
      </c>
    </row>
    <row r="101">
      <c r="A101" s="36" t="inlineStr">
        <is>
          <t>Technology</t>
        </is>
      </c>
      <c r="B101" s="36" t="inlineStr">
        <is>
          <t>Safekart</t>
        </is>
      </c>
      <c r="C101" s="36" t="inlineStr">
        <is>
          <t>2. Secondary and primary research</t>
        </is>
      </c>
      <c r="D101" s="36" t="inlineStr">
        <is>
          <t>Research to understand safety benchmarks and standards</t>
        </is>
      </c>
      <c r="E101" s="37" t="inlineStr">
        <is>
          <t>1 full time researcher for 3 months (25000*3)</t>
        </is>
      </c>
      <c r="F101" s="38" t="n">
        <v>75000</v>
      </c>
      <c r="G101" s="39">
        <f>F101/100000</f>
        <v/>
      </c>
    </row>
    <row r="102">
      <c r="A102" s="40" t="inlineStr">
        <is>
          <t>Technology</t>
        </is>
      </c>
      <c r="B102" s="40" t="inlineStr">
        <is>
          <t>Safekart</t>
        </is>
      </c>
      <c r="C102" s="40" t="inlineStr">
        <is>
          <t>3. Expert engagement</t>
        </is>
      </c>
      <c r="D102" s="40" t="inlineStr">
        <is>
          <t>Engaging tech and legal experts for review</t>
        </is>
      </c>
      <c r="E102" s="41" t="inlineStr">
        <is>
          <t>2 discussions with experts</t>
        </is>
      </c>
      <c r="F102" s="42" t="n">
        <v>75000</v>
      </c>
      <c r="G102" s="43">
        <f>F102/100000</f>
        <v/>
      </c>
    </row>
    <row r="103">
      <c r="A103" s="36" t="inlineStr">
        <is>
          <t>Technology</t>
        </is>
      </c>
      <c r="B103" s="36" t="inlineStr">
        <is>
          <t>Safekart</t>
        </is>
      </c>
      <c r="C103" s="36" t="inlineStr">
        <is>
          <t>4. Design and development</t>
        </is>
      </c>
      <c r="D103" s="36" t="inlineStr">
        <is>
          <t>Web design for safety benchmarks and features</t>
        </is>
      </c>
      <c r="E103" s="37" t="inlineStr">
        <is>
          <t>In-house</t>
        </is>
      </c>
      <c r="F103" s="38" t="n">
        <v>0</v>
      </c>
      <c r="G103" s="39">
        <f>F103/100000</f>
        <v/>
      </c>
    </row>
    <row r="104">
      <c r="A104" s="40" t="inlineStr">
        <is>
          <t>Post-emergency care</t>
        </is>
      </c>
      <c r="B104" s="40" t="inlineStr">
        <is>
          <t>First Responder Training</t>
        </is>
      </c>
      <c r="C104" s="40" t="inlineStr">
        <is>
          <t>1. Outsourced First Aid Training Sessions</t>
        </is>
      </c>
      <c r="D104" s="40" t="inlineStr">
        <is>
          <t>External Training Partner (6 sessions)</t>
        </is>
      </c>
      <c r="E104" s="41" t="inlineStr">
        <is>
          <t>Professional agency delivering hands-on training, materials, certification (~₹40k per session)</t>
        </is>
      </c>
      <c r="F104" s="42" t="n">
        <v>240000</v>
      </c>
      <c r="G104" s="43">
        <f>F104/100000</f>
        <v/>
      </c>
    </row>
    <row r="105">
      <c r="A105" s="36" t="inlineStr">
        <is>
          <t>Post-emergency care</t>
        </is>
      </c>
      <c r="B105" s="36" t="inlineStr">
        <is>
          <t>First Responder Training</t>
        </is>
      </c>
      <c r="C105" s="36" t="inlineStr">
        <is>
          <t>1. Outsourced First Aid Training Sessions</t>
        </is>
      </c>
      <c r="D105" s="36" t="inlineStr">
        <is>
          <t>Venue / Infra</t>
        </is>
      </c>
      <c r="E105" s="37" t="inlineStr">
        <is>
          <t>₹25k per session * 6 sessions</t>
        </is>
      </c>
      <c r="F105" s="38" t="n">
        <v>150000</v>
      </c>
      <c r="G105" s="39">
        <f>F105/100000</f>
        <v/>
      </c>
    </row>
    <row r="106">
      <c r="A106" s="40" t="inlineStr">
        <is>
          <t>Post-emergency care</t>
        </is>
      </c>
      <c r="B106" s="40" t="inlineStr">
        <is>
          <t>First Responder Training</t>
        </is>
      </c>
      <c r="C106" s="40" t="inlineStr">
        <is>
          <t>1. Outsourced First Aid Training Sessions</t>
        </is>
      </c>
      <c r="D106" s="40" t="inlineStr">
        <is>
          <t>Training Materials (included by vendor)</t>
        </is>
      </c>
      <c r="E106" s="41" t="inlineStr">
        <is>
          <t>First aid kits, manuals, certification for participants</t>
        </is>
      </c>
      <c r="F106" s="42" t="n">
        <v>0</v>
      </c>
      <c r="G106" s="43">
        <f>F106/100000</f>
        <v/>
      </c>
    </row>
    <row r="107">
      <c r="A107" s="36" t="inlineStr">
        <is>
          <t>Post-emergency care</t>
        </is>
      </c>
      <c r="B107" s="36" t="inlineStr">
        <is>
          <t>First Responder Training</t>
        </is>
      </c>
      <c r="C107" s="36" t="inlineStr">
        <is>
          <t>1. Outsourced First Aid Training Sessions</t>
        </is>
      </c>
      <c r="D107" s="36" t="inlineStr">
        <is>
          <t>CFI merchandise to participants</t>
        </is>
      </c>
      <c r="E107" s="37" t="inlineStr">
        <is>
          <t>Merchandise, Handouts, flashcards, FAQs</t>
        </is>
      </c>
      <c r="F107" s="38" t="n">
        <v>35000</v>
      </c>
      <c r="G107" s="39">
        <f>F107/100000</f>
        <v/>
      </c>
    </row>
    <row r="108">
      <c r="A108" s="40" t="inlineStr">
        <is>
          <t>Post-emergency care</t>
        </is>
      </c>
      <c r="B108" s="40" t="inlineStr">
        <is>
          <t>First Responder Training</t>
        </is>
      </c>
      <c r="C108" s="40" t="inlineStr">
        <is>
          <t>2. Refresher Course &amp; Learning Materials</t>
        </is>
      </c>
      <c r="D108" s="40" t="inlineStr">
        <is>
          <t>Crash Course Video Module (online)</t>
        </is>
      </c>
      <c r="E108" s="41" t="inlineStr">
        <is>
          <t>Script, record, edit 15–20 min refresher training; Shooting in partnership with AIIMS</t>
        </is>
      </c>
      <c r="F108" s="42" t="n">
        <v>150000</v>
      </c>
      <c r="G108" s="43">
        <f>F108/100000</f>
        <v/>
      </c>
    </row>
    <row r="109">
      <c r="A109" s="36" t="inlineStr">
        <is>
          <t>Post-emergency care</t>
        </is>
      </c>
      <c r="B109" s="36" t="inlineStr">
        <is>
          <t>First Responder Training</t>
        </is>
      </c>
      <c r="C109" s="36" t="inlineStr">
        <is>
          <t>2. Refresher Course &amp; Learning Materials</t>
        </is>
      </c>
      <c r="D109" s="36" t="inlineStr">
        <is>
          <t>Expert engagements</t>
        </is>
      </c>
      <c r="E109" s="37" t="inlineStr">
        <is>
          <t>Engaging 2 medical experts fot crash course development</t>
        </is>
      </c>
      <c r="F109" s="38" t="n">
        <v>50000</v>
      </c>
      <c r="G109" s="39">
        <f>F109/100000</f>
        <v/>
      </c>
    </row>
    <row r="110">
      <c r="A110" s="40" t="inlineStr">
        <is>
          <t>Post-emergency care</t>
        </is>
      </c>
      <c r="B110" s="40" t="inlineStr">
        <is>
          <t>First Responder Training</t>
        </is>
      </c>
      <c r="C110" s="40" t="inlineStr">
        <is>
          <t>2. Refresher Course &amp; Learning Materials</t>
        </is>
      </c>
      <c r="D110" s="40" t="inlineStr">
        <is>
          <t>Infographic PDFs &amp; Posters</t>
        </is>
      </c>
      <c r="E110" s="41" t="inlineStr">
        <is>
          <t>Visual first-aid guides (print + digital) in 10+ languages</t>
        </is>
      </c>
      <c r="F110" s="42" t="n">
        <v>100000</v>
      </c>
      <c r="G110" s="43">
        <f>F110/100000</f>
        <v/>
      </c>
    </row>
    <row r="111">
      <c r="A111" s="36" t="inlineStr">
        <is>
          <t>Post-emergency care</t>
        </is>
      </c>
      <c r="B111" s="36" t="inlineStr">
        <is>
          <t>First Responder Training</t>
        </is>
      </c>
      <c r="C111" s="36" t="inlineStr">
        <is>
          <t>2. Refresher Course &amp; Learning Materials</t>
        </is>
      </c>
      <c r="D111" s="36" t="inlineStr">
        <is>
          <t>WhatsApp / Telegram Mini-Course Setup</t>
        </is>
      </c>
      <c r="E111" s="37" t="inlineStr">
        <is>
          <t>Daily tips, reminders, quick checklists (3–5 day micro-course)</t>
        </is>
      </c>
      <c r="F111" s="38" t="n">
        <v>10000</v>
      </c>
      <c r="G111" s="39">
        <f>F111/100000</f>
        <v/>
      </c>
    </row>
    <row r="112">
      <c r="A112" s="40" t="inlineStr">
        <is>
          <t>Post-emergency care</t>
        </is>
      </c>
      <c r="B112" s="40" t="inlineStr">
        <is>
          <t>First Responder Training</t>
        </is>
      </c>
      <c r="C112" s="40" t="inlineStr">
        <is>
          <t>3. Outreach, Partnerships &amp; Mobilization</t>
        </is>
      </c>
      <c r="D112" s="40" t="inlineStr">
        <is>
          <t>Promotional Materials &amp; Campaign Assets</t>
        </is>
      </c>
      <c r="E112" s="41" t="inlineStr">
        <is>
          <t>Digital creatives, posters, flyers, SMS campaigns</t>
        </is>
      </c>
      <c r="F112" s="42" t="n">
        <v>120000</v>
      </c>
      <c r="G112" s="43">
        <f>F112/100000</f>
        <v/>
      </c>
    </row>
    <row r="113">
      <c r="A113" s="36" t="inlineStr">
        <is>
          <t>Post-emergency care</t>
        </is>
      </c>
      <c r="B113" s="36" t="inlineStr">
        <is>
          <t>First Responder Training</t>
        </is>
      </c>
      <c r="C113" s="36" t="inlineStr">
        <is>
          <t>3. Outreach, Partnerships &amp; Mobilization</t>
        </is>
      </c>
      <c r="D113" s="36" t="inlineStr">
        <is>
          <t>Partner Coordination (e.g., Blinkit, AIIMS etc.)</t>
        </is>
      </c>
      <c r="E113" s="37" t="inlineStr">
        <is>
          <t>MoU facilitation, partner onboarding, co-branded outreach</t>
        </is>
      </c>
      <c r="F113" s="38" t="n">
        <v>60000</v>
      </c>
      <c r="G113" s="39">
        <f>F113/100000</f>
        <v/>
      </c>
    </row>
    <row r="114">
      <c r="A114" s="40" t="inlineStr">
        <is>
          <t>Post-emergency care</t>
        </is>
      </c>
      <c r="B114" s="40" t="inlineStr">
        <is>
          <t>First Responder Training</t>
        </is>
      </c>
      <c r="C114" s="40" t="inlineStr">
        <is>
          <t>3. Outreach, Partnerships &amp; Mobilization</t>
        </is>
      </c>
      <c r="D114" s="40" t="inlineStr">
        <is>
          <t>Community Mobilization Events (2–3 small drives)</t>
        </is>
      </c>
      <c r="E114" s="41" t="inlineStr">
        <is>
          <t>Micro-events in housing societies, colleges, corporates</t>
        </is>
      </c>
      <c r="F114" s="42" t="n">
        <v>60000</v>
      </c>
      <c r="G114" s="43">
        <f>F114/100000</f>
        <v/>
      </c>
    </row>
    <row r="115">
      <c r="A115" s="36" t="inlineStr">
        <is>
          <t>Post-emergency care</t>
        </is>
      </c>
      <c r="B115" s="36" t="inlineStr">
        <is>
          <t>First Responder Training</t>
        </is>
      </c>
      <c r="C115" s="36" t="inlineStr">
        <is>
          <t>4. Certification, Recognition &amp; Incentives</t>
        </is>
      </c>
      <c r="D115" s="36" t="inlineStr">
        <is>
          <t>Certificate Design + Printing</t>
        </is>
      </c>
      <c r="E115" s="37" t="inlineStr">
        <is>
          <t>5,000 certificates</t>
        </is>
      </c>
      <c r="F115" s="38" t="n">
        <v>75000</v>
      </c>
      <c r="G115" s="39">
        <f>F115/100000</f>
        <v/>
      </c>
    </row>
    <row r="116">
      <c r="A116" s="40" t="inlineStr">
        <is>
          <t>Post-emergency care</t>
        </is>
      </c>
      <c r="B116" s="40" t="inlineStr">
        <is>
          <t>First Responder Training</t>
        </is>
      </c>
      <c r="C116" s="40" t="inlineStr">
        <is>
          <t>4. Certification, Recognition &amp; Incentives</t>
        </is>
      </c>
      <c r="D116" s="40" t="inlineStr">
        <is>
          <t>Volunteer Swag (badges, stickers, IDs)</t>
        </is>
      </c>
      <c r="E116" s="41" t="inlineStr">
        <is>
          <t>Recognition for active responders, branded kits</t>
        </is>
      </c>
      <c r="F116" s="42" t="n">
        <v>50000</v>
      </c>
      <c r="G116" s="43">
        <f>F116/100000</f>
        <v/>
      </c>
    </row>
    <row r="117">
      <c r="A117" s="36" t="inlineStr">
        <is>
          <t>Education</t>
        </is>
      </c>
      <c r="B117" s="36" t="inlineStr">
        <is>
          <t>Good Samaritan Award Show</t>
        </is>
      </c>
      <c r="C117" s="36" t="inlineStr">
        <is>
          <t>1. Nomination &amp; Identification Process</t>
        </is>
      </c>
      <c r="D117" s="36" t="inlineStr">
        <is>
          <t>Outreach to Hospitals &amp; Police Depts.</t>
        </is>
      </c>
      <c r="E117" s="37" t="inlineStr">
        <is>
          <t>Letters, calls, meetings with 15+ state police units &amp; hospitals (e.g., AIIMS, RML, PGI)</t>
        </is>
      </c>
      <c r="F117" s="38" t="n">
        <v>50000</v>
      </c>
      <c r="G117" s="39">
        <f>F117/100000</f>
        <v/>
      </c>
    </row>
    <row r="118">
      <c r="A118" s="40" t="inlineStr">
        <is>
          <t>Education</t>
        </is>
      </c>
      <c r="B118" s="40" t="inlineStr">
        <is>
          <t>Good Samaritan Award Show</t>
        </is>
      </c>
      <c r="C118" s="40" t="inlineStr">
        <is>
          <t>1. Nomination &amp; Identification Process</t>
        </is>
      </c>
      <c r="D118" s="40" t="inlineStr">
        <is>
          <t>Inviting nominations for good samaritans</t>
        </is>
      </c>
      <c r="E118" s="41" t="inlineStr">
        <is>
          <t>Outreach + Collation + verification of 100 stories through partners</t>
        </is>
      </c>
      <c r="F118" s="42" t="n">
        <v>50000</v>
      </c>
      <c r="G118" s="43">
        <f>F118/100000</f>
        <v/>
      </c>
    </row>
    <row r="119">
      <c r="A119" s="36" t="inlineStr">
        <is>
          <t>Education</t>
        </is>
      </c>
      <c r="B119" s="36" t="inlineStr">
        <is>
          <t>Good Samaritan Award Show</t>
        </is>
      </c>
      <c r="C119" s="36" t="inlineStr">
        <is>
          <t>1. Nomination &amp; Identification Process</t>
        </is>
      </c>
      <c r="D119" s="36" t="inlineStr">
        <is>
          <t>Case Documentation</t>
        </is>
      </c>
      <c r="E119" s="37" t="inlineStr">
        <is>
          <t>Interview with 50 good samaritans (100*3000 Honorarium)</t>
        </is>
      </c>
      <c r="F119" s="38" t="n">
        <v>300000</v>
      </c>
      <c r="G119" s="39">
        <f>F119/100000</f>
        <v/>
      </c>
    </row>
    <row r="120">
      <c r="A120" s="40" t="inlineStr">
        <is>
          <t>Education</t>
        </is>
      </c>
      <c r="B120" s="40" t="inlineStr">
        <is>
          <t>Good Samaritan Award Show</t>
        </is>
      </c>
      <c r="C120" s="40" t="inlineStr">
        <is>
          <t>2. Award Show – Planning &amp; Execution</t>
        </is>
      </c>
      <c r="D120" s="40" t="inlineStr">
        <is>
          <t>Guest Travel Reimbursement</t>
        </is>
      </c>
      <c r="E120" s="41" t="inlineStr">
        <is>
          <t>50+ Samaritans + key officials (partial support for outstation attendees) (100*5000)</t>
        </is>
      </c>
      <c r="F120" s="42" t="n">
        <v>500000</v>
      </c>
      <c r="G120" s="43">
        <f>F120/100000</f>
        <v/>
      </c>
    </row>
    <row r="121">
      <c r="A121" s="36" t="inlineStr">
        <is>
          <t>Education</t>
        </is>
      </c>
      <c r="B121" s="36" t="inlineStr">
        <is>
          <t>Good Samaritan Award Show</t>
        </is>
      </c>
      <c r="C121" s="36" t="inlineStr">
        <is>
          <t>2. Award Show – Planning &amp; Execution</t>
        </is>
      </c>
      <c r="D121" s="36" t="inlineStr">
        <is>
          <t>Catering + Hospitality</t>
        </is>
      </c>
      <c r="E121" s="37" t="inlineStr">
        <is>
          <t>For 200–250 guests (light snacks, dinner) (200*250)</t>
        </is>
      </c>
      <c r="F121" s="38" t="n">
        <v>50000</v>
      </c>
      <c r="G121" s="39">
        <f>F121/100000</f>
        <v/>
      </c>
    </row>
    <row r="122">
      <c r="A122" s="40" t="inlineStr">
        <is>
          <t>Education</t>
        </is>
      </c>
      <c r="B122" s="40" t="inlineStr">
        <is>
          <t>Good Samaritan Award Show</t>
        </is>
      </c>
      <c r="C122" s="40" t="inlineStr">
        <is>
          <t>2. Award Show – Planning &amp; Execution</t>
        </is>
      </c>
      <c r="D122" s="40" t="inlineStr">
        <is>
          <t>Venue Booking + Stage Setup</t>
        </is>
      </c>
      <c r="E122" s="41" t="inlineStr">
        <is>
          <t>Auditoriums (Delhi), lighting, decor, stage, branding</t>
        </is>
      </c>
      <c r="F122" s="42" t="n">
        <v>250000</v>
      </c>
      <c r="G122" s="43">
        <f>F122/100000</f>
        <v/>
      </c>
    </row>
    <row r="123">
      <c r="A123" s="36" t="inlineStr">
        <is>
          <t>Education</t>
        </is>
      </c>
      <c r="B123" s="36" t="inlineStr">
        <is>
          <t>Good Samaritan Award Show</t>
        </is>
      </c>
      <c r="C123" s="36" t="inlineStr">
        <is>
          <t>2. Award Show – Planning &amp; Execution</t>
        </is>
      </c>
      <c r="D123" s="36" t="inlineStr">
        <is>
          <t>Guest Honorarium</t>
        </is>
      </c>
      <c r="E123" s="37" t="inlineStr">
        <is>
          <t>Guest Honorarium (10*5000)</t>
        </is>
      </c>
      <c r="F123" s="38" t="n">
        <v>50000</v>
      </c>
      <c r="G123" s="39">
        <f>F123/100000</f>
        <v/>
      </c>
    </row>
    <row r="124">
      <c r="A124" s="40" t="inlineStr">
        <is>
          <t>Education</t>
        </is>
      </c>
      <c r="B124" s="40" t="inlineStr">
        <is>
          <t>Good Samaritan Award Show</t>
        </is>
      </c>
      <c r="C124" s="40" t="inlineStr">
        <is>
          <t>2. Award Show – Planning &amp; Execution</t>
        </is>
      </c>
      <c r="D124" s="40" t="inlineStr">
        <is>
          <t>Performance on road safety</t>
        </is>
      </c>
      <c r="E124" s="41" t="inlineStr">
        <is>
          <t>Stage play on road safety</t>
        </is>
      </c>
      <c r="F124" s="42" t="n">
        <v>50000</v>
      </c>
      <c r="G124" s="43">
        <f>F124/100000</f>
        <v/>
      </c>
    </row>
    <row r="125">
      <c r="A125" s="36" t="inlineStr">
        <is>
          <t>Education</t>
        </is>
      </c>
      <c r="B125" s="36" t="inlineStr">
        <is>
          <t>Good Samaritan Award Show</t>
        </is>
      </c>
      <c r="C125" s="36" t="inlineStr">
        <is>
          <t>3. Awards &amp; Recognition</t>
        </is>
      </c>
      <c r="D125" s="36" t="inlineStr">
        <is>
          <t>Cash Prize</t>
        </is>
      </c>
      <c r="E125" s="37" t="inlineStr">
        <is>
          <t>50k / participant to selected 5 stories</t>
        </is>
      </c>
      <c r="F125" s="38" t="n">
        <v>250000</v>
      </c>
      <c r="G125" s="39">
        <f>F125/100000</f>
        <v/>
      </c>
    </row>
    <row r="126">
      <c r="A126" s="40" t="inlineStr">
        <is>
          <t>Education</t>
        </is>
      </c>
      <c r="B126" s="40" t="inlineStr">
        <is>
          <t>Good Samaritan Award Show</t>
        </is>
      </c>
      <c r="C126" s="40" t="inlineStr">
        <is>
          <t>3. Awards &amp; Recognition</t>
        </is>
      </c>
      <c r="D126" s="40" t="inlineStr">
        <is>
          <t>Participant goodies and merchandize</t>
        </is>
      </c>
      <c r="E126" s="41" t="inlineStr">
        <is>
          <t>Custom-designed medals/trophies + printed certificates + Gifts / Goodie Bags for Attendees (250*300)</t>
        </is>
      </c>
      <c r="F126" s="42" t="n">
        <v>75000</v>
      </c>
      <c r="G126" s="43">
        <f>F126/100000</f>
        <v/>
      </c>
    </row>
    <row r="127">
      <c r="A127" s="36" t="inlineStr">
        <is>
          <t>Education</t>
        </is>
      </c>
      <c r="B127" s="36" t="inlineStr">
        <is>
          <t>Good Samaritan Award Show</t>
        </is>
      </c>
      <c r="C127" s="36" t="inlineStr">
        <is>
          <t>4. Communication &amp; Awareness</t>
        </is>
      </c>
      <c r="D127" s="36" t="inlineStr">
        <is>
          <t>Media Engagement &amp; Press Coverage</t>
        </is>
      </c>
      <c r="E127" s="37" t="inlineStr">
        <is>
          <t>PR agency / journalist invites, coverage, pre-reads</t>
        </is>
      </c>
      <c r="F127" s="38" t="n">
        <v>200000</v>
      </c>
      <c r="G127" s="39">
        <f>F127/100000</f>
        <v/>
      </c>
    </row>
    <row r="128">
      <c r="A128" s="40" t="inlineStr">
        <is>
          <t>Education</t>
        </is>
      </c>
      <c r="B128" s="40" t="inlineStr">
        <is>
          <t>Good Samaritan Award Show</t>
        </is>
      </c>
      <c r="C128" s="40" t="inlineStr">
        <is>
          <t>5. Documentation &amp; Post-Event Outputs</t>
        </is>
      </c>
      <c r="D128" s="40" t="inlineStr">
        <is>
          <t>Event Photography &amp; Video Coverage</t>
        </is>
      </c>
      <c r="E128" s="41" t="inlineStr">
        <is>
          <t>Full-day shoot + edited aftermovie</t>
        </is>
      </c>
      <c r="F128" s="42" t="n">
        <v>75000</v>
      </c>
      <c r="G128" s="43">
        <f>F128/100000</f>
        <v/>
      </c>
    </row>
    <row r="129">
      <c r="A129" s="36" t="inlineStr">
        <is>
          <t>Education</t>
        </is>
      </c>
      <c r="B129" s="36" t="inlineStr">
        <is>
          <t>Safety is the new swag: A road safety awareness campaign by CARS24</t>
        </is>
      </c>
      <c r="C129" s="36" t="inlineStr">
        <is>
          <t>1. Media Advocacy</t>
        </is>
      </c>
      <c r="D129" s="36" t="inlineStr">
        <is>
          <t>Prime time editorial partnerships, radio/podcast integration, public service media collaboration, Video / print Ad distribution</t>
        </is>
      </c>
      <c r="E129" s="37" t="inlineStr">
        <is>
          <t>Few examples: 
 - Prime-time editorial partnerships – e.g., co-producing a 45-min feature show on road safety with 1 national news channel (e.g., NDTV/India Today)
 - Radio &amp; podcast integration – feature road safety themes on popular FM radio stations and 2–3 podcast episodes with known creators or safety experts
 - Partnership with Uber to play safety ads in its rear seat tablets</t>
        </is>
      </c>
      <c r="F129" s="38" t="n">
        <v>3500000</v>
      </c>
      <c r="G129" s="39">
        <f>F129/100000</f>
        <v/>
      </c>
    </row>
    <row r="130">
      <c r="A130" s="40" t="inlineStr">
        <is>
          <t>Education</t>
        </is>
      </c>
      <c r="B130" s="40" t="inlineStr">
        <is>
          <t>Safety is the new swag: A road safety awareness campaign by CARS24</t>
        </is>
      </c>
      <c r="C130" s="40" t="inlineStr">
        <is>
          <t>2. Digital Advocacy</t>
        </is>
      </c>
      <c r="D130" s="40" t="inlineStr">
        <is>
          <t>Micro-influencer partnerships, Branded content productions, Digital Ips</t>
        </is>
      </c>
      <c r="E130" s="41" t="inlineStr">
        <is>
          <t>Few examples:
 - Micro-influencer partnerships – e.g., onboard 50 creators with &lt;10k followers to make reels, tweets, memes around road safety using humor, relatability
 - Branded content productions – e.g., 2–3 short films with young creators or YouTube filmmakers to depict Good Samaritans or crash survivors' stories
 - Topical campaigns &amp; digital IPs – e.g., a “#SafeSwag” challenge on Instagram/Twitter with giveaways and social badges</t>
        </is>
      </c>
      <c r="F130" s="42" t="n">
        <v>4000000</v>
      </c>
      <c r="G130" s="43">
        <f>F130/100000</f>
        <v/>
      </c>
    </row>
    <row r="131">
      <c r="A131" s="36" t="inlineStr">
        <is>
          <t>Education</t>
        </is>
      </c>
      <c r="B131" s="36" t="inlineStr">
        <is>
          <t>Safety is the new swag: A road safety awareness campaign by CARS24</t>
        </is>
      </c>
      <c r="C131" s="36" t="inlineStr">
        <is>
          <t>3. Offline Awareness</t>
        </is>
      </c>
      <c r="D131" s="36" t="inlineStr">
        <is>
          <t>OOH campaigns, Guerilla stunts, Event co-branding</t>
        </is>
      </c>
      <c r="E131" s="37" t="inlineStr">
        <is>
          <t>Few examples:
 - OOH campaigns – Billboards, metro panels, cab branding in 3–4 major cities like Delhi, Bangalore, Pune with punchy, youth-facing messages
 - Ambient / Guerilla stunts – e.g., sidewalk installations, crosswalk art, helmet graffiti, QR-code based pledge walls in college festivals or public spaces
 - Event co-branding – Partner with 1–2 youth/pop culture events (music fests, auto expos) to create on-ground engagement zones</t>
        </is>
      </c>
      <c r="F131" s="38" t="n">
        <v>5000000</v>
      </c>
      <c r="G131" s="39">
        <f>F131/100000</f>
        <v/>
      </c>
    </row>
    <row r="132">
      <c r="A132" s="40" t="inlineStr">
        <is>
          <t>Education</t>
        </is>
      </c>
      <c r="B132" s="40" t="inlineStr">
        <is>
          <t>Safety is the new swag: A road safety awareness campaign by CARS24</t>
        </is>
      </c>
      <c r="C132" s="40" t="inlineStr">
        <is>
          <t>4. Community Mobilization</t>
        </is>
      </c>
      <c r="D132" s="40" t="inlineStr">
        <is>
          <t>College competitions, App based engagement, real life stories</t>
        </is>
      </c>
      <c r="E132" s="41" t="inlineStr">
        <is>
          <t>Few examples 
 - College competitions – e.g., short video or poster design competitions with winners featured on CARS24 channels + physical events in top 10 campuses
 - App-based engagement – e.g., run “Report &amp; Win” challenges through CARS24 app encouraging users to flag unsafe zones or violators</t>
        </is>
      </c>
      <c r="F132" s="42" t="n">
        <v>2500000</v>
      </c>
      <c r="G132" s="43">
        <f>F132/100000</f>
        <v/>
      </c>
    </row>
    <row r="133">
      <c r="A133" s="36" t="inlineStr">
        <is>
          <t>Enabler - Research, Innovation and Community Mobilization</t>
        </is>
      </c>
      <c r="B133" s="36" t="inlineStr">
        <is>
          <t>Road Safety Expo &amp; Startup Showcase</t>
        </is>
      </c>
      <c r="C133" s="36" t="inlineStr">
        <is>
          <t>1. Event Planning &amp; Venue Management</t>
        </is>
      </c>
      <c r="D133" s="36" t="inlineStr">
        <is>
          <t>Venue Booking (2–3 days, large capacity)</t>
        </is>
      </c>
      <c r="E133" s="37" t="inlineStr">
        <is>
          <t>Expo hall, conference rooms, open space for stalls (3 days*2.5 lacs)</t>
        </is>
      </c>
      <c r="F133" s="38" t="n">
        <v>750000</v>
      </c>
      <c r="G133" s="39">
        <f>F133/100000</f>
        <v/>
      </c>
    </row>
    <row r="134">
      <c r="A134" s="40" t="inlineStr">
        <is>
          <t>Enabler - Research, Innovation and Community Mobilization</t>
        </is>
      </c>
      <c r="B134" s="40" t="inlineStr">
        <is>
          <t>Road Safety Expo &amp; Startup Showcase</t>
        </is>
      </c>
      <c r="C134" s="40" t="inlineStr">
        <is>
          <t>1. Event Planning &amp; Venue Management</t>
        </is>
      </c>
      <c r="D134" s="40" t="inlineStr">
        <is>
          <t>Food and refreshements</t>
        </is>
      </c>
      <c r="E134" s="41" t="inlineStr">
        <is>
          <t>Refreshements and Food for participants : 2.5 days event (500 participants*5 times*300)</t>
        </is>
      </c>
      <c r="F134" s="42" t="n">
        <v>750000</v>
      </c>
      <c r="G134" s="43">
        <f>F134/100000</f>
        <v/>
      </c>
    </row>
    <row r="135">
      <c r="A135" s="36" t="inlineStr">
        <is>
          <t>Enabler - Research, Innovation and Community Mobilization</t>
        </is>
      </c>
      <c r="B135" s="36" t="inlineStr">
        <is>
          <t>Road Safety Expo &amp; Startup Showcase</t>
        </is>
      </c>
      <c r="C135" s="36" t="inlineStr">
        <is>
          <t>1. Event Planning &amp; Venue Management</t>
        </is>
      </c>
      <c r="D135" s="36" t="inlineStr">
        <is>
          <t>Expo Infrastructure (Stalls, Branding, Signage)</t>
        </is>
      </c>
      <c r="E135" s="37" t="inlineStr">
        <is>
          <t>40+ stalls (40*20000), welcome gates, directional boards (2lacs)</t>
        </is>
      </c>
      <c r="F135" s="38" t="n">
        <v>1000000</v>
      </c>
      <c r="G135" s="39">
        <f>F135/100000</f>
        <v/>
      </c>
    </row>
    <row r="136">
      <c r="A136" s="40" t="inlineStr">
        <is>
          <t>Enabler - Research, Innovation and Community Mobilization</t>
        </is>
      </c>
      <c r="B136" s="40" t="inlineStr">
        <is>
          <t>Road Safety Expo &amp; Startup Showcase</t>
        </is>
      </c>
      <c r="C136" s="40" t="inlineStr">
        <is>
          <t>1. Event Planning &amp; Venue Management</t>
        </is>
      </c>
      <c r="D136" s="40" t="inlineStr">
        <is>
          <t>Stage Production</t>
        </is>
      </c>
      <c r="E136" s="41" t="inlineStr">
        <is>
          <t>Screens, lighting, mics, tech crew</t>
        </is>
      </c>
      <c r="F136" s="42" t="n">
        <v>250000</v>
      </c>
      <c r="G136" s="43">
        <f>F136/100000</f>
        <v/>
      </c>
    </row>
    <row r="137">
      <c r="A137" s="36" t="inlineStr">
        <is>
          <t>Enabler - Research, Innovation and Community Mobilization</t>
        </is>
      </c>
      <c r="B137" s="36" t="inlineStr">
        <is>
          <t>Road Safety Expo &amp; Startup Showcase</t>
        </is>
      </c>
      <c r="C137" s="36" t="inlineStr">
        <is>
          <t>1. Event Planning &amp; Venue Management</t>
        </is>
      </c>
      <c r="D137" s="36" t="inlineStr">
        <is>
          <t>Security, Housekeeping, Logistics</t>
        </is>
      </c>
      <c r="E137" s="37" t="inlineStr">
        <is>
          <t>Staff, volunteers, basic services</t>
        </is>
      </c>
      <c r="F137" s="38" t="n">
        <v>100000</v>
      </c>
      <c r="G137" s="39">
        <f>F137/100000</f>
        <v/>
      </c>
    </row>
    <row r="138">
      <c r="A138" s="40" t="inlineStr">
        <is>
          <t>Enabler - Research, Innovation and Community Mobilization</t>
        </is>
      </c>
      <c r="B138" s="40" t="inlineStr">
        <is>
          <t>Road Safety Expo &amp; Startup Showcase</t>
        </is>
      </c>
      <c r="C138" s="40" t="inlineStr">
        <is>
          <t>2. Startup Curation &amp; Investment</t>
        </is>
      </c>
      <c r="D138" s="40" t="inlineStr">
        <is>
          <t>Nurturing 5 Startups (Seed Grants @ ₹4L each)</t>
        </is>
      </c>
      <c r="E138" s="41" t="inlineStr">
        <is>
          <t>₹20L total investment to 4 safety-focused startups (Potential to be integrated in CARS24 overalll road safety offerings)</t>
        </is>
      </c>
      <c r="F138" s="42" t="n">
        <v>2000000</v>
      </c>
      <c r="G138" s="43">
        <f>F138/100000</f>
        <v/>
      </c>
    </row>
    <row r="139">
      <c r="A139" s="36" t="inlineStr">
        <is>
          <t>Enabler - Research, Innovation and Community Mobilization</t>
        </is>
      </c>
      <c r="B139" s="36" t="inlineStr">
        <is>
          <t>Road Safety Expo &amp; Startup Showcase</t>
        </is>
      </c>
      <c r="C139" s="36" t="inlineStr">
        <is>
          <t>2. Startup Curation &amp; Investment</t>
        </is>
      </c>
      <c r="D139" s="36" t="inlineStr">
        <is>
          <t>Startup Bootcamp / Mentoring Support</t>
        </is>
      </c>
      <c r="E139" s="37" t="inlineStr">
        <is>
          <t>Pre-event accelerator week with industry/tech mentors</t>
        </is>
      </c>
      <c r="F139" s="38" t="n">
        <v>150000</v>
      </c>
      <c r="G139" s="39">
        <f>F139/100000</f>
        <v/>
      </c>
    </row>
    <row r="140">
      <c r="A140" s="40" t="inlineStr">
        <is>
          <t>Enabler - Research, Innovation and Community Mobilization</t>
        </is>
      </c>
      <c r="B140" s="40" t="inlineStr">
        <is>
          <t>Road Safety Expo &amp; Startup Showcase</t>
        </is>
      </c>
      <c r="C140" s="40" t="inlineStr">
        <is>
          <t>3. Marketing &amp; Outreach</t>
        </is>
      </c>
      <c r="D140" s="40" t="inlineStr">
        <is>
          <t>Promotional Campaign (Digital + Offline)</t>
        </is>
      </c>
      <c r="E140" s="41" t="inlineStr">
        <is>
          <t>Paid social ads, event promo film, posters, print ads</t>
        </is>
      </c>
      <c r="F140" s="42" t="n">
        <v>400000</v>
      </c>
      <c r="G140" s="43">
        <f>F140/100000</f>
        <v/>
      </c>
    </row>
    <row r="141">
      <c r="A141" s="36" t="inlineStr">
        <is>
          <t>Enabler - Research, Innovation and Community Mobilization</t>
        </is>
      </c>
      <c r="B141" s="36" t="inlineStr">
        <is>
          <t>Road Safety Expo &amp; Startup Showcase</t>
        </is>
      </c>
      <c r="C141" s="36" t="inlineStr">
        <is>
          <t>3. Marketing &amp; Outreach</t>
        </is>
      </c>
      <c r="D141" s="36" t="inlineStr">
        <is>
          <t>Visitor Collateral (Passes, Bags, Catalogs)</t>
        </is>
      </c>
      <c r="E141" s="37" t="inlineStr">
        <is>
          <t>1000+ kits including brochures, ID badges, startup catalog</t>
        </is>
      </c>
      <c r="F141" s="38" t="n">
        <v>250000</v>
      </c>
      <c r="G141" s="39">
        <f>F141/100000</f>
        <v/>
      </c>
    </row>
    <row r="142">
      <c r="A142" s="40" t="inlineStr">
        <is>
          <t>Enabler - Research, Innovation and Community Mobilization</t>
        </is>
      </c>
      <c r="B142" s="40" t="inlineStr">
        <is>
          <t>Road Safety Expo &amp; Startup Showcase</t>
        </is>
      </c>
      <c r="C142" s="40" t="inlineStr">
        <is>
          <t>3. Marketing &amp; Outreach</t>
        </is>
      </c>
      <c r="D142" s="40" t="inlineStr">
        <is>
          <t>Influencer &amp; Media Partnerships</t>
        </is>
      </c>
      <c r="E142" s="41" t="inlineStr">
        <is>
          <t>Road safety influencers + media presence</t>
        </is>
      </c>
      <c r="F142" s="42" t="n">
        <v>180000</v>
      </c>
      <c r="G142" s="43">
        <f>F142/100000</f>
        <v/>
      </c>
    </row>
    <row r="143">
      <c r="A143" s="36" t="inlineStr">
        <is>
          <t>Enabler - Research, Innovation and Community Mobilization</t>
        </is>
      </c>
      <c r="B143" s="36" t="inlineStr">
        <is>
          <t>Road Safety Expo &amp; Startup Showcase</t>
        </is>
      </c>
      <c r="C143" s="36" t="inlineStr">
        <is>
          <t>4. Conference Programming</t>
        </is>
      </c>
      <c r="D143" s="36" t="inlineStr">
        <is>
          <t>Speaker Travel &amp; Honorariums</t>
        </is>
      </c>
      <c r="E143" s="37" t="inlineStr">
        <is>
          <t>Travel + token honorarium (50*10000)</t>
        </is>
      </c>
      <c r="F143" s="38" t="n">
        <v>500000</v>
      </c>
      <c r="G143" s="39">
        <f>F143/100000</f>
        <v/>
      </c>
    </row>
    <row r="144">
      <c r="A144" s="40" t="inlineStr">
        <is>
          <t>Enabler - Research, Innovation and Community Mobilization</t>
        </is>
      </c>
      <c r="B144" s="40" t="inlineStr">
        <is>
          <t>Road Safety Expo &amp; Startup Showcase</t>
        </is>
      </c>
      <c r="C144" s="40" t="inlineStr">
        <is>
          <t>4. Conference Programming</t>
        </is>
      </c>
      <c r="D144" s="40" t="inlineStr">
        <is>
          <t>Panel discussion</t>
        </is>
      </c>
      <c r="E144" s="41" t="inlineStr">
        <is>
          <t>Panel discussion arrangements</t>
        </is>
      </c>
      <c r="F144" s="42" t="n">
        <v>50000</v>
      </c>
      <c r="G144" s="43">
        <f>F144/100000</f>
        <v/>
      </c>
    </row>
    <row r="145">
      <c r="A145" s="36" t="inlineStr">
        <is>
          <t>Enabler - Research, Innovation and Community Mobilization</t>
        </is>
      </c>
      <c r="B145" s="36" t="inlineStr">
        <is>
          <t>Road Safety Expo &amp; Startup Showcase</t>
        </is>
      </c>
      <c r="C145" s="36" t="inlineStr">
        <is>
          <t>4. Conference Programming</t>
        </is>
      </c>
      <c r="D145" s="36" t="inlineStr">
        <is>
          <t>Cultural Segment</t>
        </is>
      </c>
      <c r="E145" s="37" t="inlineStr">
        <is>
          <t>Road safety cultural act</t>
        </is>
      </c>
      <c r="F145" s="38" t="n">
        <v>100000</v>
      </c>
      <c r="G145" s="39">
        <f>F145/100000</f>
        <v/>
      </c>
    </row>
    <row r="146">
      <c r="A146" s="40" t="inlineStr">
        <is>
          <t>Enabler - Research, Innovation and Community Mobilization</t>
        </is>
      </c>
      <c r="B146" s="40" t="inlineStr">
        <is>
          <t>Road Safety Expo &amp; Startup Showcase</t>
        </is>
      </c>
      <c r="C146" s="40" t="inlineStr">
        <is>
          <t>6. Documentation &amp; Media</t>
        </is>
      </c>
      <c r="D146" s="40" t="inlineStr">
        <is>
          <t>Video Coverage + Event Film</t>
        </is>
      </c>
      <c r="E146" s="41" t="inlineStr">
        <is>
          <t>Event aftermovie, interviews, mini-testimonials</t>
        </is>
      </c>
      <c r="F146" s="42" t="n">
        <v>150000</v>
      </c>
      <c r="G146" s="43">
        <f>F146/100000</f>
        <v/>
      </c>
    </row>
    <row r="147">
      <c r="A147" s="36" t="inlineStr">
        <is>
          <t>Enabler - Research, Innovation and Community Mobilization</t>
        </is>
      </c>
      <c r="B147" s="36" t="inlineStr">
        <is>
          <t>Road Safety Expo &amp; Startup Showcase</t>
        </is>
      </c>
      <c r="C147" s="36" t="inlineStr">
        <is>
          <t>6. Documentation &amp; Media</t>
        </is>
      </c>
      <c r="D147" s="36" t="inlineStr">
        <is>
          <t>Photography &amp; Social Media Live Coverage</t>
        </is>
      </c>
      <c r="E147" s="37" t="inlineStr">
        <is>
          <t>Real-time content capture &amp; posting</t>
        </is>
      </c>
      <c r="F147" s="38" t="n">
        <v>50000</v>
      </c>
      <c r="G147" s="39">
        <f>F147/100000</f>
        <v/>
      </c>
    </row>
    <row r="148">
      <c r="A148" s="40" t="inlineStr">
        <is>
          <t>Enabler - Research, Innovation and Community Mobilization</t>
        </is>
      </c>
      <c r="B148" s="40" t="inlineStr">
        <is>
          <t>Road Safety Expo &amp; Startup Showcase</t>
        </is>
      </c>
      <c r="C148" s="40" t="inlineStr">
        <is>
          <t>7. Staffing &amp; Coordination</t>
        </is>
      </c>
      <c r="D148" s="40" t="inlineStr">
        <is>
          <t>Volunteers and Mentors</t>
        </is>
      </c>
      <c r="E148" s="41" t="inlineStr">
        <is>
          <t>Volunteer and mentor stiped</t>
        </is>
      </c>
      <c r="F148" s="42" t="n">
        <v>120000</v>
      </c>
      <c r="G148" s="43">
        <f>F148/100000</f>
        <v/>
      </c>
    </row>
    <row r="149">
      <c r="A149" s="36" t="inlineStr">
        <is>
          <t>Enabler - Research, Innovation and Community Mobilization</t>
        </is>
      </c>
      <c r="B149" s="36" t="inlineStr">
        <is>
          <t>Road safety studies and publications</t>
        </is>
      </c>
      <c r="C149" s="36" t="inlineStr">
        <is>
          <t>1. Ambulance State Study – NCR</t>
        </is>
      </c>
      <c r="D149" s="36" t="inlineStr">
        <is>
          <t>Field Data Collection (200 ambulances)</t>
        </is>
      </c>
      <c r="E149" s="37" t="inlineStr">
        <is>
          <t>4 skilled surveyors x ₹2500/day x 45 days</t>
        </is>
      </c>
      <c r="F149" s="38" t="n">
        <v>450000</v>
      </c>
      <c r="G149" s="39">
        <f>F149/100000</f>
        <v/>
      </c>
    </row>
    <row r="150">
      <c r="A150" s="40" t="inlineStr">
        <is>
          <t>Enabler - Research, Innovation and Community Mobilization</t>
        </is>
      </c>
      <c r="B150" s="40" t="inlineStr">
        <is>
          <t>Road safety studies and publications</t>
        </is>
      </c>
      <c r="C150" s="40" t="inlineStr">
        <is>
          <t>1. Ambulance State Study – NCR</t>
        </is>
      </c>
      <c r="D150" s="40" t="inlineStr">
        <is>
          <t>Travel and logistics</t>
        </is>
      </c>
      <c r="E150" s="41" t="inlineStr">
        <is>
          <t>Travel and refreshments for surveyors (45*4*1000)</t>
        </is>
      </c>
      <c r="F150" s="42" t="n">
        <v>180000</v>
      </c>
      <c r="G150" s="43">
        <f>F150/100000</f>
        <v/>
      </c>
    </row>
    <row r="151">
      <c r="A151" s="36" t="inlineStr">
        <is>
          <t>Enabler - Research, Innovation and Community Mobilization</t>
        </is>
      </c>
      <c r="B151" s="36" t="inlineStr">
        <is>
          <t>Road safety studies and publications</t>
        </is>
      </c>
      <c r="C151" s="36" t="inlineStr">
        <is>
          <t>1. Ambulance State Study – NCR</t>
        </is>
      </c>
      <c r="D151" s="36" t="inlineStr">
        <is>
          <t>Key Informant Interviews (Hospitals, EMTs, Drivers etc.)</t>
        </is>
      </c>
      <c r="E151" s="37" t="inlineStr">
        <is>
          <t>~100 interviews (1000 Honorarium) + transcription and recording</t>
        </is>
      </c>
      <c r="F151" s="38" t="n">
        <v>150000</v>
      </c>
      <c r="G151" s="39">
        <f>F151/100000</f>
        <v/>
      </c>
    </row>
    <row r="152">
      <c r="A152" s="40" t="inlineStr">
        <is>
          <t>Enabler - Research, Innovation and Community Mobilization</t>
        </is>
      </c>
      <c r="B152" s="40" t="inlineStr">
        <is>
          <t>Road safety studies and publications</t>
        </is>
      </c>
      <c r="C152" s="40" t="inlineStr">
        <is>
          <t>1. Ambulance State Study – NCR</t>
        </is>
      </c>
      <c r="D152" s="40" t="inlineStr">
        <is>
          <t>Permission and consent from providers</t>
        </is>
      </c>
      <c r="E152" s="41" t="inlineStr">
        <is>
          <t>Permission and consent from providers</t>
        </is>
      </c>
      <c r="F152" s="42" t="n">
        <v>20000</v>
      </c>
      <c r="G152" s="43">
        <f>F152/100000</f>
        <v/>
      </c>
    </row>
    <row r="153">
      <c r="A153" s="36" t="inlineStr">
        <is>
          <t>Enabler - Research, Innovation and Community Mobilization</t>
        </is>
      </c>
      <c r="B153" s="36" t="inlineStr">
        <is>
          <t>Road safety studies and publications</t>
        </is>
      </c>
      <c r="C153" s="36" t="inlineStr">
        <is>
          <t>1. Ambulance State Study – NCR</t>
        </is>
      </c>
      <c r="D153" s="36" t="inlineStr">
        <is>
          <t>Expert engagement for survey design</t>
        </is>
      </c>
      <c r="E153" s="37" t="inlineStr">
        <is>
          <t>Engaging expert in survey design, methodology and analysis (2 experts* 30000)</t>
        </is>
      </c>
      <c r="F153" s="38" t="n">
        <v>60000</v>
      </c>
      <c r="G153" s="39">
        <f>F153/100000</f>
        <v/>
      </c>
    </row>
    <row r="154">
      <c r="A154" s="40" t="inlineStr">
        <is>
          <t>Enabler - Research, Innovation and Community Mobilization</t>
        </is>
      </c>
      <c r="B154" s="40" t="inlineStr">
        <is>
          <t>Road safety studies and publications</t>
        </is>
      </c>
      <c r="C154" s="40" t="inlineStr">
        <is>
          <t>1. Ambulance State Study – NCR</t>
        </is>
      </c>
      <c r="D154" s="40" t="inlineStr">
        <is>
          <t>Tools and subscriptions for surveyors</t>
        </is>
      </c>
      <c r="E154" s="41" t="inlineStr">
        <is>
          <t>4 tablets (Rent) for around 2 months</t>
        </is>
      </c>
      <c r="F154" s="42" t="n">
        <v>40000</v>
      </c>
      <c r="G154" s="43">
        <f>F154/100000</f>
        <v/>
      </c>
    </row>
    <row r="155">
      <c r="A155" s="36" t="inlineStr">
        <is>
          <t>Enabler - Research, Innovation and Community Mobilization</t>
        </is>
      </c>
      <c r="B155" s="36" t="inlineStr">
        <is>
          <t>Road safety studies and publications</t>
        </is>
      </c>
      <c r="C155" s="36" t="inlineStr">
        <is>
          <t>1. Ambulance State Study – NCR</t>
        </is>
      </c>
      <c r="D155" s="36" t="inlineStr">
        <is>
          <t>Data Cleaning &amp; Analysis</t>
        </is>
      </c>
      <c r="E155" s="37" t="inlineStr">
        <is>
          <t>Data analysis expert</t>
        </is>
      </c>
      <c r="F155" s="38" t="n">
        <v>50000</v>
      </c>
      <c r="G155" s="39">
        <f>F155/100000</f>
        <v/>
      </c>
    </row>
    <row r="156">
      <c r="A156" s="40" t="inlineStr">
        <is>
          <t>Enabler - Research, Innovation and Community Mobilization</t>
        </is>
      </c>
      <c r="B156" s="40" t="inlineStr">
        <is>
          <t>Road safety studies and publications</t>
        </is>
      </c>
      <c r="C156" s="40" t="inlineStr">
        <is>
          <t>1. Ambulance State Study – NCR</t>
        </is>
      </c>
      <c r="D156" s="40" t="inlineStr">
        <is>
          <t>Report Writing + Infographics</t>
        </is>
      </c>
      <c r="E156" s="41" t="inlineStr">
        <is>
          <t>Trends, visuals, benchmarks</t>
        </is>
      </c>
      <c r="F156" s="42" t="n">
        <v>0</v>
      </c>
      <c r="G156" s="43">
        <f>F156/100000</f>
        <v/>
      </c>
    </row>
    <row r="157">
      <c r="A157" s="36" t="inlineStr">
        <is>
          <t>Enabler - Research, Innovation and Community Mobilization</t>
        </is>
      </c>
      <c r="B157" s="36" t="inlineStr">
        <is>
          <t>Road safety studies and publications</t>
        </is>
      </c>
      <c r="C157" s="36" t="inlineStr">
        <is>
          <t>2. CARS24 Challan Data Study – Driving Behavior Mapping</t>
        </is>
      </c>
      <c r="D157" s="36" t="inlineStr">
        <is>
          <t>Stakeholder Workshop (Police/Tech/Infra Experts)</t>
        </is>
      </c>
      <c r="E157" s="37" t="inlineStr">
        <is>
          <t>To validate insights and brainstorm interventions</t>
        </is>
      </c>
      <c r="F157" s="38" t="n">
        <v>150000</v>
      </c>
      <c r="G157" s="39">
        <f>F157/100000</f>
        <v/>
      </c>
    </row>
    <row r="158">
      <c r="A158" s="40" t="inlineStr">
        <is>
          <t>Enabler - Research, Innovation and Community Mobilization</t>
        </is>
      </c>
      <c r="B158" s="40" t="inlineStr">
        <is>
          <t>Road safety studies and publications</t>
        </is>
      </c>
      <c r="C158" s="40" t="inlineStr">
        <is>
          <t>2. CARS24 Challan Data Study – Driving Behavior Mapping</t>
        </is>
      </c>
      <c r="D158" s="40" t="inlineStr">
        <is>
          <t>Data Scientist / Analyst</t>
        </is>
      </c>
      <c r="E158" s="41" t="inlineStr">
        <is>
          <t>Data extraction, anonymization, trend detection from 5,000+ users</t>
        </is>
      </c>
      <c r="F158" s="42" t="n">
        <v>50000</v>
      </c>
      <c r="G158" s="43">
        <f>F158/100000</f>
        <v/>
      </c>
    </row>
    <row r="159">
      <c r="A159" s="36" t="inlineStr">
        <is>
          <t>Enabler - Research, Innovation and Community Mobilization</t>
        </is>
      </c>
      <c r="B159" s="36" t="inlineStr">
        <is>
          <t>Road safety studies and publications</t>
        </is>
      </c>
      <c r="C159" s="36" t="inlineStr">
        <is>
          <t>2. CARS24 Challan Data Study – Driving Behavior Mapping</t>
        </is>
      </c>
      <c r="D159" s="36" t="inlineStr">
        <is>
          <t>Visual Report + Executive Summary</t>
        </is>
      </c>
      <c r="E159" s="37" t="inlineStr">
        <is>
          <t>Designed outputs, state dashboards</t>
        </is>
      </c>
      <c r="F159" s="38" t="n">
        <v>50000</v>
      </c>
      <c r="G159" s="39">
        <f>F159/100000</f>
        <v/>
      </c>
    </row>
    <row r="160">
      <c r="A160" s="40" t="inlineStr">
        <is>
          <t>Enabler - Research, Innovation and Community Mobilization</t>
        </is>
      </c>
      <c r="B160" s="40" t="inlineStr">
        <is>
          <t>Road safety studies and publications</t>
        </is>
      </c>
      <c r="C160" s="40" t="inlineStr">
        <is>
          <t>3. Study on Cashless Treatment &amp; Compensation (Delhi NCR)</t>
        </is>
      </c>
      <c r="D160" s="40" t="inlineStr">
        <is>
          <t>Leveraging data from policy activity</t>
        </is>
      </c>
      <c r="E160" s="41" t="inlineStr">
        <is>
          <t>In-house</t>
        </is>
      </c>
      <c r="F160" s="42" t="n">
        <v>0</v>
      </c>
      <c r="G160" s="43">
        <f>F160/100000</f>
        <v/>
      </c>
    </row>
    <row r="161">
      <c r="A161" s="36" t="inlineStr">
        <is>
          <t>Enabler - Research, Innovation and Community Mobilization</t>
        </is>
      </c>
      <c r="B161" s="36" t="inlineStr">
        <is>
          <t>Road safety studies and publications</t>
        </is>
      </c>
      <c r="C161" s="36" t="inlineStr">
        <is>
          <t>4. Marketing and outreach</t>
        </is>
      </c>
      <c r="D161" s="36" t="inlineStr">
        <is>
          <t>Marketing, Partnerships for Outreach for published report</t>
        </is>
      </c>
      <c r="E161" s="37" t="inlineStr">
        <is>
          <t>Webinars, video insight circulations, engaging micro-influencers</t>
        </is>
      </c>
      <c r="F161" s="38" t="n">
        <v>600000</v>
      </c>
      <c r="G161" s="39">
        <f>F161/100000</f>
        <v/>
      </c>
    </row>
    <row r="162">
      <c r="A162" s="40" t="inlineStr">
        <is>
          <t>Enabler - Research, Innovation and Community Mobilization</t>
        </is>
      </c>
      <c r="B162" s="40" t="inlineStr">
        <is>
          <t>Safer Mobility Impact Fellowship</t>
        </is>
      </c>
      <c r="C162" s="40" t="inlineStr">
        <is>
          <t>1. Fellowship allowance</t>
        </is>
      </c>
      <c r="D162" s="40" t="inlineStr">
        <is>
          <t>Fellowship allowance</t>
        </is>
      </c>
      <c r="E162" s="41" t="inlineStr">
        <is>
          <t>6 lacs per year * 6 fellows</t>
        </is>
      </c>
      <c r="F162" s="42" t="n">
        <v>3600000</v>
      </c>
      <c r="G162" s="43">
        <f>F162/100000</f>
        <v/>
      </c>
    </row>
    <row r="163">
      <c r="A163" s="36" t="inlineStr">
        <is>
          <t>Trust Admin</t>
        </is>
      </c>
      <c r="B163" s="36" t="inlineStr">
        <is>
          <t>Intervention audit</t>
        </is>
      </c>
      <c r="C163" s="36" t="inlineStr">
        <is>
          <t>Impact audit of interventions, impact measurement, Monitoring and Evaluation</t>
        </is>
      </c>
      <c r="D163" s="36" t="inlineStr">
        <is>
          <t>Impact audit of interventions, impact measurement, Monitoring and Evaluation</t>
        </is>
      </c>
      <c r="E163" s="37" t="inlineStr">
        <is>
          <t>Impact audit of interventions, impact measurement, Monitoring and Evaluation</t>
        </is>
      </c>
      <c r="F163" s="38" t="n">
        <v>900000</v>
      </c>
      <c r="G163" s="39">
        <f>F163/100000</f>
        <v/>
      </c>
    </row>
    <row r="164">
      <c r="A164" s="40" t="inlineStr">
        <is>
          <t>Trust Admin</t>
        </is>
      </c>
      <c r="B164" s="40" t="inlineStr">
        <is>
          <t>Website Development &amp; Hosting</t>
        </is>
      </c>
      <c r="C164" s="40" t="inlineStr">
        <is>
          <t>Domain. Email Setup and Maintenance, Cloud storage, domain</t>
        </is>
      </c>
      <c r="D164" s="40" t="inlineStr">
        <is>
          <t>Domain. Email Setup and Maintenance, Cloud storage, domain</t>
        </is>
      </c>
      <c r="E164" s="41" t="inlineStr">
        <is>
          <t>Domain. Email Setup and Maintenance, Cloud storage, domain</t>
        </is>
      </c>
      <c r="F164" s="42" t="n">
        <v>100000</v>
      </c>
      <c r="G164" s="43">
        <f>F164/100000</f>
        <v/>
      </c>
    </row>
    <row r="165">
      <c r="A165" s="36" t="inlineStr">
        <is>
          <t>Trust Admin</t>
        </is>
      </c>
      <c r="B165" s="36" t="inlineStr">
        <is>
          <t>Branding &amp; Outreach</t>
        </is>
      </c>
      <c r="C165" s="36" t="inlineStr">
        <is>
          <t>Branding Kit design, Social Media &amp; Digital Marketing, Content writing</t>
        </is>
      </c>
      <c r="D165" s="36" t="inlineStr">
        <is>
          <t>Branding Kit design, Social Media &amp; Digital Marketing, Content writing</t>
        </is>
      </c>
      <c r="E165" s="37" t="inlineStr">
        <is>
          <t>Branding Kit design, Social Media &amp; Digital Marketing, Content writing</t>
        </is>
      </c>
      <c r="F165" s="38" t="n">
        <v>50000</v>
      </c>
      <c r="G165" s="39">
        <f>F165/100000</f>
        <v/>
      </c>
    </row>
    <row r="166">
      <c r="A166" s="40" t="inlineStr">
        <is>
          <t>Trust Admin</t>
        </is>
      </c>
      <c r="B166" s="40" t="inlineStr">
        <is>
          <t>Marketing material</t>
        </is>
      </c>
      <c r="C166" s="40" t="inlineStr">
        <is>
          <t>Brochure &amp; Marketing Materials, Merchandise &amp; Promotional Items</t>
        </is>
      </c>
      <c r="D166" s="40" t="inlineStr">
        <is>
          <t>Brochure &amp; Marketing Materials, Merchandise &amp; Promotional Items</t>
        </is>
      </c>
      <c r="E166" s="41" t="inlineStr">
        <is>
          <t>Brochure &amp; Marketing Materials, Merchandise &amp; Promotional Items</t>
        </is>
      </c>
      <c r="F166" s="42" t="n">
        <v>50000</v>
      </c>
      <c r="G166" s="43">
        <f>F166/100000</f>
        <v/>
      </c>
    </row>
    <row r="167">
      <c r="A167" s="36" t="inlineStr">
        <is>
          <t>Trust Admin</t>
        </is>
      </c>
      <c r="B167" s="36" t="inlineStr">
        <is>
          <t>Travel &amp; Networking</t>
        </is>
      </c>
      <c r="C167" s="36" t="inlineStr">
        <is>
          <t>Travel Meetings and Networking Events</t>
        </is>
      </c>
      <c r="D167" s="36" t="inlineStr">
        <is>
          <t>Travel Meetings and Networking Events</t>
        </is>
      </c>
      <c r="E167" s="37" t="inlineStr">
        <is>
          <t>Travel / accomodation of core team / leadership to conferences, in-person meeting with stakeholders</t>
        </is>
      </c>
      <c r="F167" s="38" t="n">
        <v>800000</v>
      </c>
      <c r="G167" s="39">
        <f>F167/100000</f>
        <v/>
      </c>
    </row>
    <row r="168">
      <c r="A168" s="40" t="inlineStr">
        <is>
          <t>Trust Admin</t>
        </is>
      </c>
      <c r="B168" s="40" t="inlineStr">
        <is>
          <t>Salaries &amp; Benefits</t>
        </is>
      </c>
      <c r="C168" s="40" t="inlineStr">
        <is>
          <t>Initial staff hiring [2 Associates + 8-10 staff interns]</t>
        </is>
      </c>
      <c r="D168" s="40" t="inlineStr">
        <is>
          <t>Initial staff hiring [2 Associates + 8-10 staff interns]</t>
        </is>
      </c>
      <c r="E168" s="41" t="inlineStr">
        <is>
          <t>Initial staff hiring [2 Associates + 8-10 staff interns]</t>
        </is>
      </c>
      <c r="F168" s="42" t="n">
        <v>3100000</v>
      </c>
      <c r="G168" s="43">
        <f>F168/100000</f>
        <v/>
      </c>
    </row>
    <row r="169">
      <c r="A169" s="36" t="inlineStr">
        <is>
          <t>Trust Admin</t>
        </is>
      </c>
      <c r="B169" s="36" t="inlineStr">
        <is>
          <t>Reporting and Compliance</t>
        </is>
      </c>
      <c r="C169" s="36" t="inlineStr">
        <is>
          <t>Legal Reporting and Financial compliances</t>
        </is>
      </c>
      <c r="D169" s="36" t="inlineStr">
        <is>
          <t>Legal Reporting and Financial compliances</t>
        </is>
      </c>
      <c r="E169" s="37" t="inlineStr">
        <is>
          <t>Legal Reporting and Financial compliances</t>
        </is>
      </c>
      <c r="F169" s="38" t="n">
        <v>450000</v>
      </c>
      <c r="G169" s="39">
        <f>F169/100000</f>
        <v/>
      </c>
    </row>
    <row r="170">
      <c r="A170" s="40" t="inlineStr">
        <is>
          <t>Trust Admin</t>
        </is>
      </c>
      <c r="B170" s="40" t="inlineStr">
        <is>
          <t>Capacity Building and Consultation</t>
        </is>
      </c>
      <c r="C170" s="40" t="inlineStr">
        <is>
          <t>Expert, Leadership and Consultation Fees</t>
        </is>
      </c>
      <c r="D170" s="40" t="inlineStr">
        <is>
          <t>Expert, Leadership and Consultation Fees</t>
        </is>
      </c>
      <c r="E170" s="41" t="inlineStr">
        <is>
          <t>Expert, Leadership and Consultation Fees</t>
        </is>
      </c>
      <c r="F170" s="42" t="n">
        <v>3600000</v>
      </c>
      <c r="G170" s="43">
        <f>F170/100000</f>
        <v/>
      </c>
    </row>
    <row r="171">
      <c r="A171" s="36" t="inlineStr">
        <is>
          <t>Trust Admin</t>
        </is>
      </c>
      <c r="B171" s="36" t="inlineStr">
        <is>
          <t>IT hardware cost</t>
        </is>
      </c>
      <c r="C171" s="36" t="inlineStr">
        <is>
          <t>IT hardware cost</t>
        </is>
      </c>
      <c r="D171" s="36" t="inlineStr">
        <is>
          <t>Laptop, devices cost for staff</t>
        </is>
      </c>
      <c r="E171" s="37" t="inlineStr">
        <is>
          <t>Laptops for 2 associates, Interns, fellows (20*50000)</t>
        </is>
      </c>
      <c r="F171" s="38" t="n">
        <v>1000000</v>
      </c>
      <c r="G171" s="39">
        <f>F171/100000</f>
        <v/>
      </c>
    </row>
    <row r="172">
      <c r="A172" s="40" t="inlineStr">
        <is>
          <t>Trust Admin</t>
        </is>
      </c>
      <c r="B172" s="40" t="inlineStr">
        <is>
          <t>Office space (Virtual)</t>
        </is>
      </c>
      <c r="C172" s="40" t="inlineStr">
        <is>
          <t>Office space (Virtual)</t>
        </is>
      </c>
      <c r="D172" s="40" t="inlineStr">
        <is>
          <t>Virtual office space rent for compliance</t>
        </is>
      </c>
      <c r="E172" s="41" t="inlineStr">
        <is>
          <t>Virtual office space rent for compliance</t>
        </is>
      </c>
      <c r="F172" s="42" t="n">
        <v>100000</v>
      </c>
      <c r="G172" s="43">
        <f>F172/100000</f>
        <v/>
      </c>
    </row>
    <row r="173">
      <c r="A173" s="36" t="inlineStr">
        <is>
          <t>Trust Admin</t>
        </is>
      </c>
      <c r="B173" s="36" t="inlineStr">
        <is>
          <t>Employee Benefits</t>
        </is>
      </c>
      <c r="C173" s="36" t="inlineStr">
        <is>
          <t>Internet allowance, Insurance, EPF</t>
        </is>
      </c>
      <c r="D173" s="36" t="inlineStr">
        <is>
          <t>Internet allowance, Insurance, EPF</t>
        </is>
      </c>
      <c r="E173" s="37" t="inlineStr">
        <is>
          <t>Internet allowance, Insurance, EPF</t>
        </is>
      </c>
      <c r="F173" s="38" t="n">
        <v>50000</v>
      </c>
      <c r="G173" s="39">
        <f>F173/100000</f>
        <v/>
      </c>
    </row>
    <row r="174">
      <c r="A174" s="40" t="inlineStr">
        <is>
          <t>Trust Admin</t>
        </is>
      </c>
      <c r="B174" s="40" t="inlineStr">
        <is>
          <t>Office utilities</t>
        </is>
      </c>
      <c r="C174" s="40" t="inlineStr">
        <is>
          <t>Office utilities</t>
        </is>
      </c>
      <c r="D174" s="40" t="inlineStr">
        <is>
          <t>Office utilities</t>
        </is>
      </c>
      <c r="E174" s="41" t="inlineStr">
        <is>
          <t>Office utilities</t>
        </is>
      </c>
      <c r="F174" s="42" t="n">
        <v>0</v>
      </c>
      <c r="G174" s="43">
        <f>F174/100000</f>
        <v/>
      </c>
    </row>
    <row r="175">
      <c r="A175" s="36" t="inlineStr">
        <is>
          <t>Contingency cost (4%)</t>
        </is>
      </c>
      <c r="B175" s="36" t="inlineStr">
        <is>
          <t>Contingency cost (4%)</t>
        </is>
      </c>
      <c r="C175" s="36" t="inlineStr">
        <is>
          <t>Contingency cost (4%)</t>
        </is>
      </c>
      <c r="D175" s="36" t="inlineStr">
        <is>
          <t>Contingency cost (4%)</t>
        </is>
      </c>
      <c r="E175" s="37" t="inlineStr">
        <is>
          <t>Contingency cost (4%)</t>
        </is>
      </c>
      <c r="F175" s="38" t="n">
        <v>2400000</v>
      </c>
      <c r="G175" s="39">
        <f>F175/100000</f>
        <v/>
      </c>
    </row>
    <row r="176">
      <c r="A176" s="44" t="inlineStr">
        <is>
          <t>Grand Total</t>
        </is>
      </c>
      <c r="B176" s="45" t="n"/>
      <c r="C176" s="45" t="n"/>
      <c r="D176" s="45" t="n"/>
      <c r="E176" s="45" t="n"/>
      <c r="F176" s="32">
        <f>SUM(F3:F175)</f>
        <v/>
      </c>
      <c r="G176" s="33">
        <f>F176/100000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2026-08-19T08:21:59Z</dcterms:created>
  <dcterms:modified xmlns:dcterms="http://purl.org/dc/terms/" xmlns:xsi="http://www.w3.org/2001/XMLSchema-instance" xsi:type="dcterms:W3CDTF">2026-08-19T08:22:00Z</dcterms:modified>
</cp:coreProperties>
</file>