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P Bifurcation" sheetId="1" state="visible" r:id="rId1"/>
    <sheet xmlns:r="http://schemas.openxmlformats.org/officeDocument/2006/relationships" name="Check &amp; summari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'AOP Bifurcation'!$A$1:$F$49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A1C1C"/>
      <sz val="9.5"/>
    </font>
    <font>
      <name val="Calibri"/>
      <color rgb="001A1C1C"/>
      <sz val="9.5"/>
    </font>
    <font>
      <name val="Calibri"/>
      <color rgb="00777589"/>
      <sz val="9"/>
    </font>
    <font>
      <name val="Calibri"/>
      <color rgb="001A1C1C"/>
      <sz val="8.5"/>
    </font>
    <font>
      <b val="1"/>
      <color rgb="00FFFFFF"/>
      <sz val="11"/>
    </font>
    <font>
      <b val="1"/>
    </font>
    <font>
      <color rgb="00777589"/>
      <sz val="9"/>
    </font>
    <font>
      <b val="1"/>
      <color rgb="00FFFFFF"/>
      <sz val="10"/>
    </font>
    <font>
      <sz val="10"/>
    </font>
    <font>
      <name val="Calibri"/>
      <b val="1"/>
      <color rgb="004A35FF"/>
      <sz val="13"/>
    </font>
    <font>
      <name val="Calibri"/>
      <color rgb="00FFFFFF"/>
      <sz val="10"/>
    </font>
    <font>
      <name val="Calibri"/>
      <b val="1"/>
      <color rgb="000A9955"/>
      <sz val="11"/>
    </font>
    <font>
      <name val="Calibri"/>
      <color rgb="001A1C1C"/>
      <sz val="10"/>
    </font>
    <font>
      <name val="Calibri"/>
      <b val="1"/>
      <color rgb="00E58900"/>
      <sz val="11"/>
    </font>
    <font>
      <name val="Calibri"/>
      <b val="1"/>
      <color rgb="004A35FF"/>
      <sz val="11"/>
    </font>
  </fonts>
  <fills count="6">
    <fill>
      <patternFill/>
    </fill>
    <fill>
      <patternFill patternType="gray125"/>
    </fill>
    <fill>
      <patternFill patternType="solid">
        <fgColor rgb="004A35FF"/>
      </patternFill>
    </fill>
    <fill>
      <patternFill patternType="solid">
        <fgColor rgb="00FFFFFF"/>
      </patternFill>
    </fill>
    <fill>
      <patternFill patternType="solid">
        <fgColor rgb="00FAFAFB"/>
      </patternFill>
    </fill>
    <fill>
      <patternFill patternType="solid">
        <fgColor rgb="001A1C1C"/>
      </patternFill>
    </fill>
  </fills>
  <borders count="2">
    <border>
      <left/>
      <right/>
      <top/>
      <bottom/>
      <diagonal/>
    </border>
    <border>
      <left style="thin">
        <color rgb="00E2E3EC"/>
      </left>
      <right style="thin">
        <color rgb="00E2E3EC"/>
      </right>
      <top style="thin">
        <color rgb="00E2E3EC"/>
      </top>
      <bottom style="thin">
        <color rgb="00E2E3E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164" fontId="2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horizontal="left" vertical="center"/>
    </xf>
    <xf numFmtId="0" fontId="1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40" customWidth="1" min="4" max="4"/>
    <col width="15" customWidth="1" min="5" max="5"/>
    <col width="66" customWidth="1" min="6" max="6"/>
  </cols>
  <sheetData>
    <row r="1" ht="30" customHeight="1">
      <c r="A1" s="1" t="inlineStr">
        <is>
          <t>Vertical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Description</t>
        </is>
      </c>
      <c r="E1" s="1" t="inlineStr">
        <is>
          <t>Budget allocated</t>
        </is>
      </c>
      <c r="F1" s="1" t="inlineStr">
        <is>
          <t>Remarks for Keshav (tagging &amp; finance notes)</t>
        </is>
      </c>
    </row>
    <row r="2">
      <c r="A2" s="2" t="inlineStr">
        <is>
          <t>Project Rakshak</t>
        </is>
      </c>
      <c r="B2" s="3" t="inlineStr">
        <is>
          <t>Institutional track (IIT/NIT/SPA teams)</t>
        </is>
      </c>
      <c r="C2" s="3" t="inlineStr">
        <is>
          <t>Student team stipends</t>
        </is>
      </c>
      <c r="D2" s="4" t="inlineStr">
        <is>
          <t>₹36,000 per team on completion · ~90 institutional sites</t>
        </is>
      </c>
      <c r="E2" s="5" t="n">
        <v>3240000</v>
      </c>
      <c r="F2" s="6" t="inlineStr">
        <is>
          <t>GL: Salary &amp; Incentives (stipends). Milestone-linked (paid on completion) — accrue quarterly, release on sign-off. Volume driver = # teams; true-up to actual cohort. Confirm TDS applicability on student stipends with CA. Programme (restricted).</t>
        </is>
      </c>
    </row>
    <row r="3">
      <c r="A3" s="7" t="inlineStr">
        <is>
          <t>Project Rakshak</t>
        </is>
      </c>
      <c r="B3" s="8" t="inlineStr">
        <is>
          <t>Institutional track (IIT/NIT/SPA teams)</t>
        </is>
      </c>
      <c r="C3" s="8" t="inlineStr">
        <is>
          <t>Expert mentor honoraria</t>
        </is>
      </c>
      <c r="D3" s="9" t="inlineStr">
        <is>
          <t>Faculty &amp; road-safety expert mentors across the cohort</t>
        </is>
      </c>
      <c r="E3" s="10" t="n">
        <v>1300000</v>
      </c>
      <c r="F3" s="11" t="inlineStr">
        <is>
          <t>GL: Professional fees. TDS u/s 194J (10%). Per-session/per-mentor — keep engagement letters. Programme.</t>
        </is>
      </c>
    </row>
    <row r="4">
      <c r="A4" s="2" t="inlineStr">
        <is>
          <t>Project Rakshak</t>
        </is>
      </c>
      <c r="B4" s="3" t="inlineStr">
        <is>
          <t>Institutional track (IIT/NIT/SPA teams)</t>
        </is>
      </c>
      <c r="C4" s="3" t="inlineStr">
        <is>
          <t>Campus outreach, onboarding &amp; merchandise</t>
        </is>
      </c>
      <c r="D4" s="4" t="inlineStr">
        <is>
          <t>Chapter mobilisation, IDs, kits, ads</t>
        </is>
      </c>
      <c r="E4" s="5" t="n">
        <v>960000</v>
      </c>
      <c r="F4" s="6" t="inlineStr">
        <is>
          <t>GL: Marketing &amp; Branding + Office. Mixed (printing/merch + digital ads + travel). Claim GST input where invoiced. Split ads vs merch if you want a finer tag.</t>
        </is>
      </c>
    </row>
    <row r="5">
      <c r="A5" s="7" t="inlineStr">
        <is>
          <t>Project Rakshak</t>
        </is>
      </c>
      <c r="B5" s="8" t="inlineStr">
        <is>
          <t>NGO partner track (~20 sites)</t>
        </is>
      </c>
      <c r="C5" s="8" t="inlineStr">
        <is>
          <t>NGO field-team engagement</t>
        </is>
      </c>
      <c r="D5" s="9" t="inlineStr">
        <is>
          <t>Field audits via NGO partners, ~20 sites</t>
        </is>
      </c>
      <c r="E5" s="10" t="n">
        <v>2000000</v>
      </c>
      <c r="F5" s="11" t="inlineStr">
        <is>
          <t>GL: Professional fees / grant-to-partner. Contract per NGO — confirm TDS 194C vs grant treatment. Milestone-linked per site. Restricted programme.</t>
        </is>
      </c>
    </row>
    <row r="6">
      <c r="A6" s="2" t="inlineStr">
        <is>
          <t>Project Rakshak</t>
        </is>
      </c>
      <c r="B6" s="3" t="inlineStr">
        <is>
          <t>NGO partner track (~20 sites)</t>
        </is>
      </c>
      <c r="C6" s="3" t="inlineStr">
        <is>
          <t>CFI desk + 10–15% physical re-checks</t>
        </is>
      </c>
      <c r="D6" s="4" t="inlineStr">
        <is>
          <t>QA on NGO submissions</t>
        </is>
      </c>
      <c r="E6" s="5" t="n">
        <v>500000</v>
      </c>
      <c r="F6" s="6" t="inlineStr">
        <is>
          <t>GL: Travel + Professional fees. Mostly CFI staff time + travel — book travel to Travel head; staff time is an allocation, not a new payout.</t>
        </is>
      </c>
    </row>
    <row r="7">
      <c r="A7" s="7" t="inlineStr">
        <is>
          <t>Project Rakshak</t>
        </is>
      </c>
      <c r="B7" s="8" t="inlineStr">
        <is>
          <t>Certified RSA track (~40 sites)</t>
        </is>
      </c>
      <c r="C7" s="8" t="inlineStr">
        <is>
          <t>CRRI-certified auditor fees (IRC SP:88)</t>
        </is>
      </c>
      <c r="D7" s="9" t="inlineStr">
        <is>
          <t>Full audits usable by NHAI without rework</t>
        </is>
      </c>
      <c r="E7" s="10" t="n">
        <v>4500000</v>
      </c>
      <c r="F7" s="11" t="inlineStr">
        <is>
          <t>GL: Professional fees. Largest single vendor line. TDS 194J + GST input. Milestone/per-audit — keep PO + IRC SP:88 deliverable. Programme.</t>
        </is>
      </c>
    </row>
    <row r="8">
      <c r="A8" s="2" t="inlineStr">
        <is>
          <t>Project Rakshak</t>
        </is>
      </c>
      <c r="B8" s="3" t="inlineStr">
        <is>
          <t>Expert Consortium &amp; Audit Manual v1.0</t>
        </is>
      </c>
      <c r="C8" s="3" t="inlineStr">
        <is>
          <t>Expert Consortium (4 meetings)</t>
        </is>
      </c>
      <c r="D8" s="4" t="inlineStr">
        <is>
          <t>Sep/Dec/Mar/Jun sittings</t>
        </is>
      </c>
      <c r="E8" s="5" t="n">
        <v>1000000</v>
      </c>
      <c r="F8" s="6" t="inlineStr">
        <is>
          <t>GL: Professional fees (honoraria, 194J) + Travel + Office (venue). Accrue per meeting (4 across year).</t>
        </is>
      </c>
    </row>
    <row r="9">
      <c r="A9" s="7" t="inlineStr">
        <is>
          <t>Project Rakshak</t>
        </is>
      </c>
      <c r="B9" s="8" t="inlineStr">
        <is>
          <t>Expert Consortium &amp; Audit Manual v1.0</t>
        </is>
      </c>
      <c r="C9" s="8" t="inlineStr">
        <is>
          <t>Audit Manual v1.0 production</t>
        </is>
      </c>
      <c r="D9" s="9" t="inlineStr">
        <is>
          <t>Authoring, design, print</t>
        </is>
      </c>
      <c r="E9" s="10" t="n">
        <v>800000</v>
      </c>
      <c r="F9" s="11" t="inlineStr">
        <is>
          <t>GL: Professional fees (authoring/design) + print. Treat as programme opex. GST input on printing. Mostly one-time.</t>
        </is>
      </c>
    </row>
    <row r="10">
      <c r="A10" s="2" t="inlineStr">
        <is>
          <t>Project Rakshak</t>
        </is>
      </c>
      <c r="B10" s="3" t="inlineStr">
        <is>
          <t>Public accountability dashboard</t>
        </is>
      </c>
      <c r="C10" s="3" t="inlineStr">
        <is>
          <t>Dashboard build, hosting &amp; maintenance</t>
        </is>
      </c>
      <c r="D10" s="4" t="inlineStr">
        <is>
          <t>identification→audit→review→implementation tracker</t>
        </is>
      </c>
      <c r="E10" s="5" t="n">
        <v>1200000</v>
      </c>
      <c r="F10" s="6" t="inlineStr">
        <is>
          <t>GL: Tech Infra. Split build (one-time) vs hosting (recurring monthly). If built in-house it is staff time — confirm vendor vs internal to avoid double counting.</t>
        </is>
      </c>
    </row>
    <row r="11">
      <c r="A11" s="7" t="inlineStr">
        <is>
          <t>Project Rakshak</t>
        </is>
      </c>
      <c r="B11" s="8" t="inlineStr">
        <is>
          <t>Programme management &amp; field ops</t>
        </is>
      </c>
      <c r="C11" s="8" t="inlineStr">
        <is>
          <t>Programme management (staff allocation)</t>
        </is>
      </c>
      <c r="D11" s="9" t="inlineStr">
        <is>
          <t>PM + coordination time allocated to Rakshak</t>
        </is>
      </c>
      <c r="E11" s="10" t="n">
        <v>1800000</v>
      </c>
      <c r="F11" s="11" t="inlineStr">
        <is>
          <t>GL: Salary &amp; Incentives — ALLOCATION, not a new payout. This is core salary cross-charged to Rakshak; make sure it is NOT also sitting in Trust Admin salaries (avoid double count).</t>
        </is>
      </c>
    </row>
    <row r="12">
      <c r="A12" s="2" t="inlineStr">
        <is>
          <t>Project Rakshak</t>
        </is>
      </c>
      <c r="B12" s="3" t="inlineStr">
        <is>
          <t>Programme management &amp; field ops</t>
        </is>
      </c>
      <c r="C12" s="3" t="inlineStr">
        <is>
          <t>Field travel &amp; logistics</t>
        </is>
      </c>
      <c r="D12" s="4" t="inlineStr">
        <is>
          <t>Site visits, DRSC meetings</t>
        </is>
      </c>
      <c r="E12" s="5" t="n">
        <v>700000</v>
      </c>
      <c r="F12" s="6" t="inlineStr">
        <is>
          <t>GL: Travel. Reimbursements — keep bills, no TDS. Programme.</t>
        </is>
      </c>
    </row>
    <row r="13">
      <c r="A13" s="7" t="inlineStr">
        <is>
          <t>Project Rakshak</t>
        </is>
      </c>
      <c r="B13" s="8" t="inlineStr">
        <is>
          <t>Programme management &amp; field ops</t>
        </is>
      </c>
      <c r="C13" s="8" t="inlineStr">
        <is>
          <t>National forum &amp; DRSC presentations</t>
        </is>
      </c>
      <c r="D13" s="9" t="inlineStr">
        <is>
          <t>12+ DRSC presentations, year-end forum</t>
        </is>
      </c>
      <c r="E13" s="10" t="n">
        <v>500000</v>
      </c>
      <c r="F13" s="11" t="inlineStr">
        <is>
          <t>GL: Marketing/Events + Travel. Venue &amp; logistics — GST input on vendor invoices.</t>
        </is>
      </c>
    </row>
    <row r="14">
      <c r="A14" s="2" t="inlineStr">
        <is>
          <t>Hit &amp; Run Compensation</t>
        </is>
      </c>
      <c r="B14" s="3" t="inlineStr">
        <is>
          <t>Scheme audit &amp; process documentation</t>
        </is>
      </c>
      <c r="C14" s="3" t="inlineStr">
        <is>
          <t>Stage-wise pipeline audit fieldwork (Gurugram)</t>
        </is>
      </c>
      <c r="D14" s="4" t="inlineStr">
        <is>
          <t>FIR→GI Council disbursal; 20–30 claims tracked</t>
        </is>
      </c>
      <c r="E14" s="5" t="n">
        <v>1200000</v>
      </c>
      <c r="F14" s="6" t="inlineStr">
        <is>
          <t>GL: Professional fees + Travel. Field researchers/surveyors — TDS 194C/194J per contract. Restricted programme.</t>
        </is>
      </c>
    </row>
    <row r="15">
      <c r="A15" s="7" t="inlineStr">
        <is>
          <t>Hit &amp; Run Compensation</t>
        </is>
      </c>
      <c r="B15" s="8" t="inlineStr">
        <is>
          <t>Scheme audit &amp; process documentation</t>
        </is>
      </c>
      <c r="C15" s="8" t="inlineStr">
        <is>
          <t>'Where the Pipeline Breaks' report</t>
        </is>
      </c>
      <c r="D15" s="9" t="inlineStr">
        <is>
          <t>Scheme audit submitted to MoRTH</t>
        </is>
      </c>
      <c r="E15" s="10" t="n">
        <v>600000</v>
      </c>
      <c r="F15" s="11" t="inlineStr">
        <is>
          <t>GL: Professional fees + print. Writing/design + printing. GST input.</t>
        </is>
      </c>
    </row>
    <row r="16">
      <c r="A16" s="2" t="inlineStr">
        <is>
          <t>Hit &amp; Run Compensation</t>
        </is>
      </c>
      <c r="B16" s="3" t="inlineStr">
        <is>
          <t>Institutional capacity building</t>
        </is>
      </c>
      <c r="C16" s="3" t="inlineStr">
        <is>
          <t>Fellow-in-Residence stipend (Tehsildar office)</t>
        </is>
      </c>
      <c r="D16" s="4" t="inlineStr">
        <is>
          <t>Embedded fellow · research-embedded</t>
        </is>
      </c>
      <c r="E16" s="5" t="n">
        <v>1200000</v>
      </c>
      <c r="F16" s="6" t="inlineStr">
        <is>
          <t>GL: Salary &amp; Incentives (fellowship). On HRMS retainer — recurring monthly, TDS on salary as applicable. Tag to Hit &amp; Run (dedicated fellow).</t>
        </is>
      </c>
    </row>
    <row r="17">
      <c r="A17" s="7" t="inlineStr">
        <is>
          <t>Hit &amp; Run Compensation</t>
        </is>
      </c>
      <c r="B17" s="8" t="inlineStr">
        <is>
          <t>Institutional capacity building</t>
        </is>
      </c>
      <c r="C17" s="8" t="inlineStr">
        <is>
          <t>SOP reference cards &amp; training-gap assessment</t>
        </is>
      </c>
      <c r="D17" s="9" t="inlineStr">
        <is>
          <t>District capacity building</t>
        </is>
      </c>
      <c r="E17" s="10" t="n">
        <v>800000</v>
      </c>
      <c r="F17" s="11" t="inlineStr">
        <is>
          <t>GL: Professional fees + print. Consultant + printing. Mostly one-time.</t>
        </is>
      </c>
    </row>
    <row r="18">
      <c r="A18" s="2" t="inlineStr">
        <is>
          <t>Hit &amp; Run Compensation</t>
        </is>
      </c>
      <c r="B18" s="3" t="inlineStr">
        <is>
          <t>Victim identification &amp; AASHA</t>
        </is>
      </c>
      <c r="C18" s="3" t="inlineStr">
        <is>
          <t>DLSA-partnered helpdesks</t>
        </is>
      </c>
      <c r="D18" s="4" t="inlineStr">
        <is>
          <t>Trauma-ward legal helpdesks</t>
        </is>
      </c>
      <c r="E18" s="5" t="n">
        <v>800000</v>
      </c>
      <c r="F18" s="6" t="inlineStr">
        <is>
          <t>GL: Professional fees / grant + Office. Helpdesk staffing + materials. Confirm DLSA MoU terms.</t>
        </is>
      </c>
    </row>
    <row r="19">
      <c r="A19" s="7" t="inlineStr">
        <is>
          <t>Hit &amp; Run Compensation</t>
        </is>
      </c>
      <c r="B19" s="8" t="inlineStr">
        <is>
          <t>Victim identification &amp; AASHA</t>
        </is>
      </c>
      <c r="C19" s="8" t="inlineStr">
        <is>
          <t>AASHA QR deployment</t>
        </is>
      </c>
      <c r="D19" s="9" t="inlineStr">
        <is>
          <t>Police stations &amp; trauma centres; usage measured monthly</t>
        </is>
      </c>
      <c r="E19" s="10" t="n">
        <v>600000</v>
      </c>
      <c r="F19" s="11" t="inlineStr">
        <is>
          <t>GL: Tech Infra + Marketing. QR standees/printing + app hosting — split print vs tech if you want.</t>
        </is>
      </c>
    </row>
    <row r="20">
      <c r="A20" s="2" t="inlineStr">
        <is>
          <t>Hit &amp; Run Compensation</t>
        </is>
      </c>
      <c r="B20" s="3" t="inlineStr">
        <is>
          <t>Policy audit &amp; advocacy</t>
        </is>
      </c>
      <c r="C20" s="3" t="inlineStr">
        <is>
          <t>Quarterly findings &amp; public brief</t>
        </is>
      </c>
      <c r="D20" s="4" t="inlineStr">
        <is>
          <t>Publishing cadence</t>
        </is>
      </c>
      <c r="E20" s="5" t="n">
        <v>500000</v>
      </c>
      <c r="F20" s="6" t="inlineStr">
        <is>
          <t>GL: Professional fees + Marketing. Recurring quarterly — accrue per quarter.</t>
        </is>
      </c>
    </row>
    <row r="21">
      <c r="A21" s="7" t="inlineStr">
        <is>
          <t>Hit &amp; Run Compensation</t>
        </is>
      </c>
      <c r="B21" s="8" t="inlineStr">
        <is>
          <t>Policy audit &amp; advocacy</t>
        </is>
      </c>
      <c r="C21" s="8" t="inlineStr">
        <is>
          <t>Advocacy &amp; MoRTH engagement travel</t>
        </is>
      </c>
      <c r="D21" s="9" t="inlineStr">
        <is>
          <t>Stakeholder engagement</t>
        </is>
      </c>
      <c r="E21" s="10" t="n">
        <v>300000</v>
      </c>
      <c r="F21" s="11" t="inlineStr">
        <is>
          <t>GL: Travel. Reimbursements, no TDS.</t>
        </is>
      </c>
    </row>
    <row r="22">
      <c r="A22" s="2" t="inlineStr">
        <is>
          <t>Civic &amp; GovTech (SATARK)</t>
        </is>
      </c>
      <c r="B22" s="3" t="inlineStr">
        <is>
          <t>SATARK scale to 30 cities</t>
        </is>
      </c>
      <c r="C22" s="3" t="inlineStr">
        <is>
          <t>SATARK engineering &amp; product</t>
        </is>
      </c>
      <c r="D22" s="4" t="inlineStr">
        <is>
          <t>ANPR, ULIP, rule engine, billboard + officer app</t>
        </is>
      </c>
      <c r="E22" s="5" t="n">
        <v>2500000</v>
      </c>
      <c r="F22" s="6" t="inlineStr">
        <is>
          <t>GL: Tech Infra / Professional fees. In-house devs = salary cross-charge (avoid double count); vendor = 194J + GST. Confirm capex vs opex for product build with CA.</t>
        </is>
      </c>
    </row>
    <row r="23">
      <c r="A23" s="7" t="inlineStr">
        <is>
          <t>Civic &amp; GovTech (SATARK)</t>
        </is>
      </c>
      <c r="B23" s="8" t="inlineStr">
        <is>
          <t>SATARK scale to 30 cities</t>
        </is>
      </c>
      <c r="C23" s="8" t="inlineStr">
        <is>
          <t>City deployment &amp; rollout</t>
        </is>
      </c>
      <c r="D23" s="9" t="inlineStr">
        <is>
          <t>Toward 30 cities · Gurugram, Pune, Ahmedabad first</t>
        </is>
      </c>
      <c r="E23" s="10" t="n">
        <v>2000000</v>
      </c>
      <c r="F23" s="11" t="inlineStr">
        <is>
          <t>GL: Professional fees + Travel + Tech. Volume driver = # cities; milestone per go-live.</t>
        </is>
      </c>
    </row>
    <row r="24">
      <c r="A24" s="2" t="inlineStr">
        <is>
          <t>Civic &amp; GovTech (SATARK)</t>
        </is>
      </c>
      <c r="B24" s="3" t="inlineStr">
        <is>
          <t>SATARK scale to 30 cities</t>
        </is>
      </c>
      <c r="C24" s="3" t="inlineStr">
        <is>
          <t>Cloud, ANPR &amp; ULIP integration</t>
        </is>
      </c>
      <c r="D24" s="4" t="inlineStr">
        <is>
          <t>Compute, APIs, camera integration</t>
        </is>
      </c>
      <c r="E24" s="5" t="n">
        <v>1500000</v>
      </c>
      <c r="F24" s="6" t="inlineStr">
        <is>
          <t>GL: Tech Infra. Recurring cloud/compute — reconcile monthly to actual usage. Foreign SaaS → GST under RCM (import of service); watch forex.</t>
        </is>
      </c>
    </row>
    <row r="25">
      <c r="A25" s="7" t="inlineStr">
        <is>
          <t>Civic &amp; GovTech (SATARK)</t>
        </is>
      </c>
      <c r="B25" s="8" t="inlineStr">
        <is>
          <t>Open data stack (4 products)</t>
        </is>
      </c>
      <c r="C25" s="8" t="inlineStr">
        <is>
          <t>Open data product maintenance &amp; hosting</t>
        </is>
      </c>
      <c r="D25" s="9" t="inlineStr">
        <is>
          <t>Defect Repo, Parliament tracker, SC Litigation Tracker, Crash Dashboard</t>
        </is>
      </c>
      <c r="E25" s="10" t="n">
        <v>1500000</v>
      </c>
      <c r="F25" s="11" t="inlineStr">
        <is>
          <t>GL: Tech Infra. Recurring hosting for 4 products — monthly.</t>
        </is>
      </c>
    </row>
    <row r="26">
      <c r="A26" s="2" t="inlineStr">
        <is>
          <t>Civic &amp; GovTech (SATARK)</t>
        </is>
      </c>
      <c r="B26" s="3" t="inlineStr">
        <is>
          <t>Open data stack (4 products)</t>
        </is>
      </c>
      <c r="C26" s="3" t="inlineStr">
        <is>
          <t>Data engineering &amp; updates</t>
        </is>
      </c>
      <c r="D26" s="4" t="inlineStr">
        <is>
          <t>Daily/weekly refresh, 146 districts</t>
        </is>
      </c>
      <c r="E26" s="5" t="n">
        <v>1000000</v>
      </c>
      <c r="F26" s="6" t="inlineStr">
        <is>
          <t>GL: Salary / Professional fees. Cross-charge if internal; vendor = 194J.</t>
        </is>
      </c>
    </row>
    <row r="27">
      <c r="A27" s="7" t="inlineStr">
        <is>
          <t>Civic &amp; GovTech (SATARK)</t>
        </is>
      </c>
      <c r="B27" s="8" t="inlineStr">
        <is>
          <t>GovTech exploration &amp; partnerships</t>
        </is>
      </c>
      <c r="C27" s="8" t="inlineStr">
        <is>
          <t>GovTech scoping &amp; partnerships</t>
        </is>
      </c>
      <c r="D27" s="9" t="inlineStr">
        <is>
          <t>2+ new DPG opportunities scoped</t>
        </is>
      </c>
      <c r="E27" s="10" t="n">
        <v>1000000</v>
      </c>
      <c r="F27" s="11" t="inlineStr">
        <is>
          <t>GL: Professional fees + Travel. Exploratory/flexible — keep unspent visible; do not front-load.</t>
        </is>
      </c>
    </row>
    <row r="28">
      <c r="A28" s="2" t="inlineStr">
        <is>
          <t>Civic &amp; GovTech (SATARK)</t>
        </is>
      </c>
      <c r="B28" s="3" t="inlineStr">
        <is>
          <t>GovTech exploration &amp; partnerships</t>
        </is>
      </c>
      <c r="C28" s="3" t="inlineStr">
        <is>
          <t>Pilot / DPG prototyping</t>
        </is>
      </c>
      <c r="D28" s="4" t="inlineStr">
        <is>
          <t>ULIP / MoRTH ecosystem</t>
        </is>
      </c>
      <c r="E28" s="5" t="n">
        <v>500000</v>
      </c>
      <c r="F28" s="6" t="inlineStr">
        <is>
          <t>GL: Tech Infra. Small pilots — release against scoped need.</t>
        </is>
      </c>
    </row>
    <row r="29">
      <c r="A29" s="7" t="inlineStr">
        <is>
          <t>Marketing Campaign</t>
        </is>
      </c>
      <c r="B29" s="8" t="inlineStr">
        <is>
          <t>Media advocacy</t>
        </is>
      </c>
      <c r="C29" s="8" t="inlineStr">
        <is>
          <t>Editorial partnerships, radio &amp; podcast, PSA</t>
        </is>
      </c>
      <c r="D29" s="9" t="inlineStr">
        <is>
          <t>Earned + owned media</t>
        </is>
      </c>
      <c r="E29" s="10" t="n">
        <v>1500000</v>
      </c>
      <c r="F29" s="11" t="inlineStr">
        <is>
          <t>GL: Marketing &amp; Branding. Agency/media invoices — TDS 194C/194J + GST input. Spread across year.</t>
        </is>
      </c>
    </row>
    <row r="30">
      <c r="A30" s="2" t="inlineStr">
        <is>
          <t>Marketing Campaign</t>
        </is>
      </c>
      <c r="B30" s="3" t="inlineStr">
        <is>
          <t>Digital advocacy</t>
        </is>
      </c>
      <c r="C30" s="3" t="inlineStr">
        <is>
          <t>50 micro-influencers &amp; branded short films</t>
        </is>
      </c>
      <c r="D30" s="4" t="inlineStr">
        <is>
          <t>#SafeSwag creator programme</t>
        </is>
      </c>
      <c r="E30" s="5" t="n">
        <v>1400000</v>
      </c>
      <c r="F30" s="6" t="inlineStr">
        <is>
          <t>GL: Marketing &amp; Branding. Influencer payouts — 194C/194J; keep contracts. Track CAC (see Aug ads learning).</t>
        </is>
      </c>
    </row>
    <row r="31">
      <c r="A31" s="7" t="inlineStr">
        <is>
          <t>Marketing Campaign</t>
        </is>
      </c>
      <c r="B31" s="8" t="inlineStr">
        <is>
          <t>Digital advocacy</t>
        </is>
      </c>
      <c r="C31" s="8" t="inlineStr">
        <is>
          <t>Digital IP &amp; content production</t>
        </is>
      </c>
      <c r="D31" s="9" t="inlineStr">
        <is>
          <t>Short films, reels</t>
        </is>
      </c>
      <c r="E31" s="10" t="n">
        <v>600000</v>
      </c>
      <c r="F31" s="11" t="inlineStr">
        <is>
          <t>GL: Marketing &amp; Branding. Production vendor + GST input.</t>
        </is>
      </c>
    </row>
    <row r="32">
      <c r="A32" s="2" t="inlineStr">
        <is>
          <t>Marketing Campaign</t>
        </is>
      </c>
      <c r="B32" s="3" t="inlineStr">
        <is>
          <t>Offline awareness</t>
        </is>
      </c>
      <c r="C32" s="3" t="inlineStr">
        <is>
          <t>OOH in 3–4 cities</t>
        </is>
      </c>
      <c r="D32" s="4" t="inlineStr">
        <is>
          <t>Billboards, transit</t>
        </is>
      </c>
      <c r="E32" s="5" t="n">
        <v>1000000</v>
      </c>
      <c r="F32" s="6" t="inlineStr">
        <is>
          <t>GL: Marketing &amp; Branding. OOH media buy — 194C + GST input.</t>
        </is>
      </c>
    </row>
    <row r="33">
      <c r="A33" s="7" t="inlineStr">
        <is>
          <t>Marketing Campaign</t>
        </is>
      </c>
      <c r="B33" s="8" t="inlineStr">
        <is>
          <t>Offline awareness</t>
        </is>
      </c>
      <c r="C33" s="8" t="inlineStr">
        <is>
          <t>Guerilla installations &amp; event co-branding</t>
        </is>
      </c>
      <c r="D33" s="9" t="inlineStr"/>
      <c r="E33" s="10" t="n">
        <v>500000</v>
      </c>
      <c r="F33" s="11" t="inlineStr">
        <is>
          <t>GL: Marketing &amp; Branding / Events.</t>
        </is>
      </c>
    </row>
    <row r="34">
      <c r="A34" s="2" t="inlineStr">
        <is>
          <t>Marketing Campaign</t>
        </is>
      </c>
      <c r="B34" s="3" t="inlineStr">
        <is>
          <t>Community mobilization</t>
        </is>
      </c>
      <c r="C34" s="3" t="inlineStr">
        <is>
          <t>College competitions &amp; app-based engagement</t>
        </is>
      </c>
      <c r="D34" s="4" t="inlineStr">
        <is>
          <t>Real-life stories</t>
        </is>
      </c>
      <c r="E34" s="5" t="n">
        <v>1000000</v>
      </c>
      <c r="F34" s="6" t="inlineStr">
        <is>
          <t>GL: Marketing + Office. Prizes/logistics — keep winner records for prize payouts.</t>
        </is>
      </c>
    </row>
    <row r="35">
      <c r="A35" s="7" t="inlineStr">
        <is>
          <t>Bets (SSI + Gig Rider)</t>
        </is>
      </c>
      <c r="B35" s="8" t="inlineStr">
        <is>
          <t>School Safety Index — seed (₹0.10 Cr)</t>
        </is>
      </c>
      <c r="C35" s="8" t="inlineStr">
        <is>
          <t>IRC:SP:32 rubric validation &amp; Zone Captain pilot</t>
        </is>
      </c>
      <c r="D35" s="9" t="inlineStr">
        <is>
          <t>~100 school zones in one anchor city</t>
        </is>
      </c>
      <c r="E35" s="10" t="n">
        <v>700000</v>
      </c>
      <c r="F35" s="11" t="inlineStr">
        <is>
          <t>GL: Professional fees + Travel. SEED — release ONLY against board-approved design (stage gate). Ring-fence at ₹0.10 Cr; do not overspend the seed.</t>
        </is>
      </c>
    </row>
    <row r="36">
      <c r="A36" s="2" t="inlineStr">
        <is>
          <t>Bets (SSI + Gig Rider)</t>
        </is>
      </c>
      <c r="B36" s="3" t="inlineStr">
        <is>
          <t>School Safety Index — seed (₹0.10 Cr)</t>
        </is>
      </c>
      <c r="C36" s="3" t="inlineStr">
        <is>
          <t>Per-school costing &amp; board-ready design</t>
        </is>
      </c>
      <c r="D36" s="4" t="inlineStr">
        <is>
          <t>Gate to a funded multi-city index in Year 3</t>
        </is>
      </c>
      <c r="E36" s="5" t="n">
        <v>300000</v>
      </c>
      <c r="F36" s="6" t="inlineStr">
        <is>
          <t>GL: Professional fees. SEED. Deliverable = board paper.</t>
        </is>
      </c>
    </row>
    <row r="37">
      <c r="A37" s="7" t="inlineStr">
        <is>
          <t>Bets (SSI + Gig Rider)</t>
        </is>
      </c>
      <c r="B37" s="8" t="inlineStr">
        <is>
          <t>Gig Rider Safety — seed (₹0.10 Cr)</t>
        </is>
      </c>
      <c r="C37" s="8" t="inlineStr">
        <is>
          <t>Gig crash-data scoping study</t>
        </is>
      </c>
      <c r="D37" s="9" t="inlineStr">
        <is>
          <t>National study parked until field model proven</t>
        </is>
      </c>
      <c r="E37" s="10" t="n">
        <v>600000</v>
      </c>
      <c r="F37" s="11" t="inlineStr">
        <is>
          <t>GL: Professional fees. SEED — researcher fees 194J. Ring-fence at ₹0.10 Cr.</t>
        </is>
      </c>
    </row>
    <row r="38">
      <c r="A38" s="2" t="inlineStr">
        <is>
          <t>Bets (SSI + Gig Rider)</t>
        </is>
      </c>
      <c r="B38" s="3" t="inlineStr">
        <is>
          <t>Gig Rider Safety — seed (₹0.10 Cr)</t>
        </is>
      </c>
      <c r="C38" s="3" t="inlineStr">
        <is>
          <t>Platform + OMI Foundation engagements</t>
        </is>
      </c>
      <c r="D38" s="4" t="inlineStr">
        <is>
          <t>3+ platforms at the table</t>
        </is>
      </c>
      <c r="E38" s="5" t="n">
        <v>400000</v>
      </c>
      <c r="F38" s="6" t="inlineStr">
        <is>
          <t>GL: Travel + Professional fees. SEED. Relationship-building.</t>
        </is>
      </c>
    </row>
    <row r="39">
      <c r="A39" s="7" t="inlineStr">
        <is>
          <t>Trust Admin (Org Backbone)</t>
        </is>
      </c>
      <c r="B39" s="8" t="inlineStr">
        <is>
          <t>Core team salaries &amp; benefits</t>
        </is>
      </c>
      <c r="C39" s="8" t="inlineStr">
        <is>
          <t>Core team salaries &amp; benefits</t>
        </is>
      </c>
      <c r="D39" s="9" t="inlineStr">
        <is>
          <t>Aggregate core staff (individual figures withheld)</t>
        </is>
      </c>
      <c r="E39" s="10" t="n">
        <v>4200000</v>
      </c>
      <c r="F39" s="11" t="inlineStr">
        <is>
          <t>GL: Salary &amp; Incentives. Core/shared payroll ONLY (the part not cross-charged to programmes). Ensure programme staff-allocations (Rakshak PM ₹18L, SATARK eng, data eng) are NOT double-counted here. Monthly; TDS 192, PF/ESI as applicable.</t>
        </is>
      </c>
    </row>
    <row r="40">
      <c r="A40" s="2" t="inlineStr">
        <is>
          <t>Trust Admin (Org Backbone)</t>
        </is>
      </c>
      <c r="B40" s="3" t="inlineStr">
        <is>
          <t>Core team salaries &amp; benefits</t>
        </is>
      </c>
      <c r="C40" s="3" t="inlineStr">
        <is>
          <t>Safer Mobility Impact Fellowship (SMIF)</t>
        </is>
      </c>
      <c r="D40" s="4" t="inlineStr">
        <is>
          <t>Fellow cohort, aggregate (~6 fellows across tracks)</t>
        </is>
      </c>
      <c r="E40" s="5" t="n">
        <v>3600000</v>
      </c>
      <c r="F40" s="6" t="inlineStr">
        <is>
          <t>GL: Salary &amp; Incentives (fellowship). Via HRMS fixed-term agreements. Recurring monthly. Individual amounts are confidential (pull from HRMS). If a fellow is dedicated to one programme, consider cross-charging that programme.</t>
        </is>
      </c>
    </row>
    <row r="41">
      <c r="A41" s="7" t="inlineStr">
        <is>
          <t>Trust Admin (Org Backbone)</t>
        </is>
      </c>
      <c r="B41" s="8" t="inlineStr">
        <is>
          <t>IRSC institutional support &amp; expert consultation</t>
        </is>
      </c>
      <c r="C41" s="8" t="inlineStr">
        <is>
          <t>IRSC institutional support &amp; expert consultation</t>
        </is>
      </c>
      <c r="D41" s="9" t="inlineStr">
        <is>
          <t>Shared expert / leadership consultation</t>
        </is>
      </c>
      <c r="E41" s="10" t="n">
        <v>4200000</v>
      </c>
      <c r="F41" s="11" t="inlineStr">
        <is>
          <t>GL: Professional fees. TDS 194J + GST. IRSC is a related party — confirm inter-entity treatment &amp; documentation. Keep MoU.</t>
        </is>
      </c>
    </row>
    <row r="42">
      <c r="A42" s="2" t="inlineStr">
        <is>
          <t>Trust Admin (Org Backbone)</t>
        </is>
      </c>
      <c r="B42" s="3" t="inlineStr">
        <is>
          <t>IT, SaaS &amp; AI tooling</t>
        </is>
      </c>
      <c r="C42" s="3" t="inlineStr">
        <is>
          <t>AI tooling — Claude (Team) + Codex / AI subscriptions</t>
        </is>
      </c>
      <c r="D42" s="4" t="inlineStr">
        <is>
          <t>AI assistants for build, research &amp; ops</t>
        </is>
      </c>
      <c r="E42" s="5" t="n">
        <v>600000</v>
      </c>
      <c r="F42" s="6" t="inlineStr">
        <is>
          <t>GL: Tech Infra (software subscriptions). ← THE dedicated AI-tooling tag. Recurring monthly, mostly USD (Anthropic/OpenAI) — GST under RCM on import of service (pay &amp; claim), plus forex/card fees. Receipts already forwarded to finance.</t>
        </is>
      </c>
    </row>
    <row r="43">
      <c r="A43" s="7" t="inlineStr">
        <is>
          <t>Trust Admin (Org Backbone)</t>
        </is>
      </c>
      <c r="B43" s="8" t="inlineStr">
        <is>
          <t>IT, SaaS &amp; AI tooling</t>
        </is>
      </c>
      <c r="C43" s="8" t="inlineStr">
        <is>
          <t>Google Workspace &amp; email</t>
        </is>
      </c>
      <c r="D43" s="9" t="inlineStr"/>
      <c r="E43" s="10" t="n">
        <v>300000</v>
      </c>
      <c r="F43" s="11" t="inlineStr">
        <is>
          <t>GL: Tech Infra. Recurring per-seat — scales with headcount. USD/INR; RCM watch.</t>
        </is>
      </c>
    </row>
    <row r="44">
      <c r="A44" s="2" t="inlineStr">
        <is>
          <t>Trust Admin (Org Backbone)</t>
        </is>
      </c>
      <c r="B44" s="3" t="inlineStr">
        <is>
          <t>IT, SaaS &amp; AI tooling</t>
        </is>
      </c>
      <c r="C44" s="3" t="inlineStr">
        <is>
          <t>Slack &amp; collaboration</t>
        </is>
      </c>
      <c r="D44" s="4" t="inlineStr"/>
      <c r="E44" s="5" t="n">
        <v>200000</v>
      </c>
      <c r="F44" s="6" t="inlineStr">
        <is>
          <t>GL: Tech Infra. Recurring per-seat. RCM watch.</t>
        </is>
      </c>
    </row>
    <row r="45">
      <c r="A45" s="7" t="inlineStr">
        <is>
          <t>Trust Admin (Org Backbone)</t>
        </is>
      </c>
      <c r="B45" s="8" t="inlineStr">
        <is>
          <t>IT, SaaS &amp; AI tooling</t>
        </is>
      </c>
      <c r="C45" s="8" t="inlineStr">
        <is>
          <t>HRMS 'CFI People' &amp; other SaaS</t>
        </is>
      </c>
      <c r="D45" s="9" t="inlineStr"/>
      <c r="E45" s="10" t="n">
        <v>200000</v>
      </c>
      <c r="F45" s="11" t="inlineStr">
        <is>
          <t>GL: Tech Infra. HRMS + misc SaaS. Recurring.</t>
        </is>
      </c>
    </row>
    <row r="46">
      <c r="A46" s="2" t="inlineStr">
        <is>
          <t>Trust Admin (Org Backbone)</t>
        </is>
      </c>
      <c r="B46" s="3" t="inlineStr">
        <is>
          <t>IT, SaaS &amp; AI tooling</t>
        </is>
      </c>
      <c r="C46" s="3" t="inlineStr">
        <is>
          <t>Cloud, hosting &amp; domains</t>
        </is>
      </c>
      <c r="D46" s="4" t="inlineStr">
        <is>
          <t>Not tied to a specific product</t>
        </is>
      </c>
      <c r="E46" s="5" t="n">
        <v>100000</v>
      </c>
      <c r="F46" s="6" t="inlineStr">
        <is>
          <t>GL: Tech Infra. Domains/hosting. Recurring.</t>
        </is>
      </c>
    </row>
    <row r="47">
      <c r="A47" s="7" t="inlineStr">
        <is>
          <t>Trust Admin (Org Backbone)</t>
        </is>
      </c>
      <c r="B47" s="8" t="inlineStr">
        <is>
          <t>M&amp;E, statutory &amp; impact audit</t>
        </is>
      </c>
      <c r="C47" s="8" t="inlineStr">
        <is>
          <t>M&amp;E, statutory &amp; impact audit</t>
        </is>
      </c>
      <c r="D47" s="9" t="inlineStr"/>
      <c r="E47" s="10" t="n">
        <v>600000</v>
      </c>
      <c r="F47" s="11" t="inlineStr">
        <is>
          <t>GL: Audit &amp; Compliance. Statutory audit + M&amp;E — 194J. Year-end weighted.</t>
        </is>
      </c>
    </row>
    <row r="48">
      <c r="A48" s="2" t="inlineStr">
        <is>
          <t>Trust Admin (Org Backbone)</t>
        </is>
      </c>
      <c r="B48" s="3" t="inlineStr">
        <is>
          <t>Travel, branding &amp; compliance</t>
        </is>
      </c>
      <c r="C48" s="3" t="inlineStr">
        <is>
          <t>Travel, branding &amp; compliance</t>
        </is>
      </c>
      <c r="D48" s="4" t="inlineStr"/>
      <c r="E48" s="5" t="n">
        <v>1100000</v>
      </c>
      <c r="F48" s="6" t="inlineStr">
        <is>
          <t>GL: mixed (Travel + Marketing + Compliance). Consider splitting into 3 lines if you want cleaner pivots by cost head.</t>
        </is>
      </c>
    </row>
    <row r="49">
      <c r="A49" s="7" t="inlineStr">
        <is>
          <t>Contingency (4%)</t>
        </is>
      </c>
      <c r="B49" s="8" t="inlineStr">
        <is>
          <t>Contingency</t>
        </is>
      </c>
      <c r="C49" s="8" t="inlineStr">
        <is>
          <t>Contingency reserve (4%)</t>
        </is>
      </c>
      <c r="D49" s="9" t="inlineStr">
        <is>
          <t>Held against programme + admin spend</t>
        </is>
      </c>
      <c r="E49" s="10" t="n">
        <v>2400000</v>
      </c>
      <c r="F49" s="11" t="inlineStr">
        <is>
          <t>GL: Contingency (do NOT pre-allocate). Release only on approved overruns and RE-TAG to the actual head when spent. Keep as buffer; report unused at year-end.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24" customHeight="1">
      <c r="A1" s="12" t="inlineStr">
        <is>
          <t>Reconciliation (this ties to the AOP — ₹6.00 Cr)</t>
        </is>
      </c>
    </row>
    <row r="2">
      <c r="A2" s="13" t="inlineStr">
        <is>
          <t>Grand total</t>
        </is>
      </c>
      <c r="B2" s="14">
        <f>SUM('AOP Bifurcation'!$E$2:$E$49)</f>
        <v/>
      </c>
      <c r="C2" s="15" t="inlineStr">
        <is>
          <t>should be ₹6,00,00,000</t>
        </is>
      </c>
    </row>
    <row r="4">
      <c r="A4" s="16" t="inlineStr">
        <is>
          <t>By Vertical (Level 1)</t>
        </is>
      </c>
    </row>
    <row r="5">
      <c r="A5" s="17" t="inlineStr">
        <is>
          <t>Project Rakshak</t>
        </is>
      </c>
      <c r="B5" s="18">
        <f>SUMIF('AOP Bifurcation'!$A$2:$A$49,A5,'AOP Bifurcation'!$E$2:$E$49)</f>
        <v/>
      </c>
      <c r="C5" s="19">
        <f>B5/$B$2</f>
        <v/>
      </c>
    </row>
    <row r="6">
      <c r="A6" s="17" t="inlineStr">
        <is>
          <t>Hit &amp; Run Compensation</t>
        </is>
      </c>
      <c r="B6" s="18">
        <f>SUMIF('AOP Bifurcation'!$A$2:$A$49,A6,'AOP Bifurcation'!$E$2:$E$49)</f>
        <v/>
      </c>
      <c r="C6" s="19">
        <f>B6/$B$2</f>
        <v/>
      </c>
    </row>
    <row r="7">
      <c r="A7" s="17" t="inlineStr">
        <is>
          <t>Civic &amp; GovTech (SATARK)</t>
        </is>
      </c>
      <c r="B7" s="18">
        <f>SUMIF('AOP Bifurcation'!$A$2:$A$49,A7,'AOP Bifurcation'!$E$2:$E$49)</f>
        <v/>
      </c>
      <c r="C7" s="19">
        <f>B7/$B$2</f>
        <v/>
      </c>
    </row>
    <row r="8">
      <c r="A8" s="17" t="inlineStr">
        <is>
          <t>Marketing Campaign</t>
        </is>
      </c>
      <c r="B8" s="18">
        <f>SUMIF('AOP Bifurcation'!$A$2:$A$49,A8,'AOP Bifurcation'!$E$2:$E$49)</f>
        <v/>
      </c>
      <c r="C8" s="19">
        <f>B8/$B$2</f>
        <v/>
      </c>
    </row>
    <row r="9">
      <c r="A9" s="17" t="inlineStr">
        <is>
          <t>Bets (SSI + Gig Rider)</t>
        </is>
      </c>
      <c r="B9" s="18">
        <f>SUMIF('AOP Bifurcation'!$A$2:$A$49,A9,'AOP Bifurcation'!$E$2:$E$49)</f>
        <v/>
      </c>
      <c r="C9" s="19">
        <f>B9/$B$2</f>
        <v/>
      </c>
    </row>
    <row r="10">
      <c r="A10" s="17" t="inlineStr">
        <is>
          <t>Trust Admin (Org Backbone)</t>
        </is>
      </c>
      <c r="B10" s="18">
        <f>SUMIF('AOP Bifurcation'!$A$2:$A$49,A10,'AOP Bifurcation'!$E$2:$E$49)</f>
        <v/>
      </c>
      <c r="C10" s="19">
        <f>B10/$B$2</f>
        <v/>
      </c>
    </row>
    <row r="11">
      <c r="A11" s="17" t="inlineStr">
        <is>
          <t>Contingency (4%)</t>
        </is>
      </c>
      <c r="B11" s="18">
        <f>SUMIF('AOP Bifurcation'!$A$2:$A$49,A11,'AOP Bifurcation'!$E$2:$E$49)</f>
        <v/>
      </c>
      <c r="C11" s="19">
        <f>B11/$B$2</f>
        <v/>
      </c>
    </row>
    <row r="12">
      <c r="A12" s="13" t="inlineStr">
        <is>
          <t>Total</t>
        </is>
      </c>
      <c r="B12" s="14">
        <f>SUM(B5:B11)</f>
        <v/>
      </c>
    </row>
  </sheetData>
  <mergeCells count="2">
    <mergeCell ref="A1:C1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0" t="inlineStr">
        <is>
          <t>CFI · AOP 2026–27 — bifurcation for finance (flat, pivot-ready)</t>
        </is>
      </c>
    </row>
    <row r="2">
      <c r="A2" s="21" t="inlineStr"/>
    </row>
    <row r="3">
      <c r="A3" s="22" t="inlineStr">
        <is>
          <t>HOW TO USE</t>
        </is>
      </c>
    </row>
    <row r="4">
      <c r="A4" s="23" t="inlineStr">
        <is>
          <t>• Sheet 'AOP Bifurcation' is a clean flat table (one row per sub-category). Select it and Insert ▸ PivotTable.</t>
        </is>
      </c>
    </row>
    <row r="5">
      <c r="A5" s="23" t="inlineStr">
        <is>
          <t>• Pivot rows: Vertical ▸ Category ▸ Sub-category; Values: Sum of Budget allocated. Filters as needed.</t>
        </is>
      </c>
    </row>
    <row r="6">
      <c r="A6" s="23" t="inlineStr">
        <is>
          <t>• Vertical and Category repeat on every row on purpose — that is what makes pivots work.</t>
        </is>
      </c>
    </row>
    <row r="7">
      <c r="A7" s="23" t="inlineStr">
        <is>
          <t>• 'Check &amp; summaries' proves it reconciles to ₹6.00 Cr and gives a by-vertical view.</t>
        </is>
      </c>
    </row>
    <row r="8">
      <c r="A8" s="21" t="inlineStr"/>
    </row>
    <row r="9">
      <c r="A9" s="24" t="inlineStr">
        <is>
          <t>WHAT'S EXACT vs FIRST-PASS</t>
        </is>
      </c>
    </row>
    <row r="10">
      <c r="A10" s="23" t="inlineStr">
        <is>
          <t>• EXACT (board-approved AOP): the 7 verticals and their totals — Rakshak ₹1.85 Cr, Hit &amp; Run ₹0.60 Cr,</t>
        </is>
      </c>
    </row>
    <row r="11">
      <c r="A11" s="23" t="inlineStr">
        <is>
          <t xml:space="preserve">   SATARK ₹1.00 Cr, Marketing ₹0.60 Cr, Bets ₹0.20 Cr, Trust Admin ₹1.51 Cr, Contingency ₹0.24 Cr = ₹6.00 Cr;</t>
        </is>
      </c>
    </row>
    <row r="12">
      <c r="A12" s="23" t="inlineStr">
        <is>
          <t xml:space="preserve">   plus Trust Admin's five headers (salaries ₹0.78 Cr, IRSC ₹0.42 Cr, IT/SaaS/AI ₹0.14 Cr, M&amp;E ₹0.06 Cr, travel ₹0.11 Cr).</t>
        </is>
      </c>
    </row>
    <row r="13">
      <c r="A13" s="23" t="inlineStr">
        <is>
          <t>• FIRST-PASS (edit freely): the Category/Sub-category splits inside the programmes, the ₹42L core vs ₹36L SMIF split,</t>
        </is>
      </c>
    </row>
    <row r="14">
      <c r="A14" s="23" t="inlineStr">
        <is>
          <t xml:space="preserve">   and the itemisation of the ₹0.14 Cr AI/SaaS line. Numbers were set to sum exactly to each vertical.</t>
        </is>
      </c>
    </row>
    <row r="15">
      <c r="A15" s="21" t="inlineStr"/>
    </row>
    <row r="16">
      <c r="A16" s="25" t="inlineStr">
        <is>
          <t>FOR KESHAV — the Remarks column</t>
        </is>
      </c>
    </row>
    <row r="17">
      <c r="A17" s="23" t="inlineStr">
        <is>
          <t>• Each row suggests a GL head (Salary &amp; Incentives, Professional fees, Tech Infra, Marketing &amp; Branding, Travel,</t>
        </is>
      </c>
    </row>
    <row r="18">
      <c r="A18" s="23" t="inlineStr">
        <is>
          <t xml:space="preserve">   Audit &amp; Compliance, Office, Contingency), plus TDS/GST/RCM flags and whether it is recurring vs one-time.</t>
        </is>
      </c>
    </row>
    <row r="19">
      <c r="A19" s="23" t="inlineStr">
        <is>
          <t>• Watch the double-count flags: programme 'staff allocation' lines are cross-charges from core salaries — do not book twice.</t>
        </is>
      </c>
    </row>
    <row r="20">
      <c r="A20" s="23" t="inlineStr">
        <is>
          <t>• Foreign SaaS/AI (Claude, Codex, Workspace, Slack) → GST under reverse charge on import of service; keep receipts.</t>
        </is>
      </c>
    </row>
    <row r="21">
      <c r="A21" s="23" t="inlineStr">
        <is>
          <t>• Fellows are visible in three places: Rakshak student stipends (₹36k/team), Hit&amp;Run Fellow-in-Residence, and SMIF (Trust Admin).</t>
        </is>
      </c>
    </row>
    <row r="22">
      <c r="A22" s="26" t="inlineStr">
        <is>
          <t>• Want a 7th 'GL head' column so you can pivot by cost head directly? Say the word and I'll add it (kept to your 6 columns for now).</t>
        </is>
      </c>
    </row>
    <row r="23">
      <c r="A23" s="21" t="inlineStr"/>
    </row>
    <row r="24">
      <c r="A24" s="26" t="inlineStr">
        <is>
          <t>Sources: finalized AOP deck (₹6.00 Cr) · Team Charter / Ownership Map · Slack · Gmail (Anthropic receipts, SMIF, Codex request).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2026-08-19T09:10:39Z</dcterms:created>
  <dcterms:modified xmlns:dcterms="http://purl.org/dc/terms/" xmlns:xsi="http://www.w3.org/2001/XMLSchema-instance" xsi:type="dcterms:W3CDTF">2026-08-19T09:10:39Z</dcterms:modified>
</cp:coreProperties>
</file>