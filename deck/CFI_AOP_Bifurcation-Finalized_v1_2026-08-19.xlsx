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Level Bifurcation" sheetId="1" state="visible" r:id="rId1"/>
    <sheet xmlns:r="http://schemas.openxmlformats.org/officeDocument/2006/relationships" name="By Vertical" sheetId="2" state="visible" r:id="rId2"/>
    <sheet xmlns:r="http://schemas.openxmlformats.org/officeDocument/2006/relationships" name="Notes &amp; ba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₹&quot;#,##0"/>
    <numFmt numFmtId="165" formatCode="0.0"/>
    <numFmt numFmtId="166" formatCode="0.0%"/>
  </numFmts>
  <fonts count="21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1A1C1C"/>
      <sz val="11"/>
    </font>
    <font>
      <name val="Calibri"/>
      <color rgb="00777589"/>
      <sz val="8"/>
    </font>
    <font>
      <name val="Calibri"/>
      <b val="1"/>
      <color rgb="004A35FF"/>
      <sz val="11"/>
    </font>
    <font>
      <name val="Calibri"/>
      <color rgb="00777589"/>
      <sz val="8.5"/>
    </font>
    <font>
      <name val="Calibri"/>
      <b val="1"/>
      <color rgb="004A35FF"/>
      <sz val="10.5"/>
    </font>
    <font>
      <name val="Calibri"/>
      <b val="1"/>
      <color rgb="001A1C1C"/>
      <sz val="10"/>
    </font>
    <font>
      <name val="Calibri"/>
      <b val="1"/>
      <color rgb="004A35FF"/>
      <sz val="10"/>
    </font>
    <font>
      <name val="Calibri"/>
      <color rgb="001A1C1C"/>
      <sz val="9"/>
    </font>
    <font>
      <name val="Calibri"/>
      <color rgb="00777589"/>
      <sz val="9"/>
    </font>
    <font>
      <b val="1"/>
      <color rgb="00FFFFFF"/>
      <sz val="12"/>
    </font>
    <font>
      <b val="1"/>
      <color rgb="00FFFFFF"/>
    </font>
    <font>
      <b val="1"/>
      <sz val="10"/>
    </font>
    <font>
      <b val="1"/>
    </font>
    <font>
      <name val="Calibri"/>
      <b val="1"/>
      <color rgb="004A35FF"/>
      <sz val="13"/>
    </font>
    <font>
      <name val="Calibri"/>
      <color rgb="00FFFFFF"/>
      <sz val="10"/>
    </font>
    <font>
      <name val="Calibri"/>
      <b val="1"/>
      <color rgb="000A9955"/>
      <sz val="11"/>
    </font>
    <font>
      <name val="Calibri"/>
      <color rgb="001A1C1C"/>
      <sz val="10"/>
    </font>
    <font>
      <name val="Calibri"/>
      <b val="1"/>
      <color rgb="00E58900"/>
      <sz val="11"/>
    </font>
  </fonts>
  <fills count="9">
    <fill>
      <patternFill/>
    </fill>
    <fill>
      <patternFill patternType="gray125"/>
    </fill>
    <fill>
      <patternFill patternType="solid">
        <fgColor rgb="004A35FF"/>
      </patternFill>
    </fill>
    <fill>
      <patternFill patternType="solid">
        <fgColor rgb="001A1C1C"/>
      </patternFill>
    </fill>
    <fill>
      <patternFill patternType="solid">
        <fgColor rgb="00E9E6FF"/>
      </patternFill>
    </fill>
    <fill>
      <patternFill patternType="solid">
        <fgColor rgb="00F3F1FF"/>
      </patternFill>
    </fill>
    <fill>
      <patternFill patternType="solid">
        <fgColor rgb="00EDEEF2"/>
      </patternFill>
    </fill>
    <fill>
      <patternFill patternType="solid">
        <fgColor rgb="00FFFFFF"/>
      </patternFill>
    </fill>
    <fill>
      <patternFill patternType="solid">
        <fgColor rgb="00FAFAFB"/>
      </patternFill>
    </fill>
  </fills>
  <borders count="2">
    <border>
      <left/>
      <right/>
      <top/>
      <bottom/>
      <diagonal/>
    </border>
    <border>
      <left style="thin">
        <color rgb="00E2E3EC"/>
      </left>
      <right style="thin">
        <color rgb="00E2E3EC"/>
      </right>
      <top style="thin">
        <color rgb="00E2E3EC"/>
      </top>
      <bottom style="thin">
        <color rgb="00E2E3E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166" fontId="7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 indent="1"/>
    </xf>
    <xf numFmtId="0" fontId="4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6" fontId="9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 indent="2"/>
    </xf>
    <xf numFmtId="0" fontId="4" fillId="7" borderId="1" applyAlignment="1" pivotButton="0" quotePrefix="0" xfId="0">
      <alignment horizontal="center" vertical="center"/>
    </xf>
    <xf numFmtId="164" fontId="10" fillId="7" borderId="1" applyAlignment="1" pivotButton="0" quotePrefix="0" xfId="0">
      <alignment horizontal="right" vertical="center"/>
    </xf>
    <xf numFmtId="165" fontId="10" fillId="7" borderId="1" applyAlignment="1" pivotButton="0" quotePrefix="0" xfId="0">
      <alignment horizontal="right" vertical="center"/>
    </xf>
    <xf numFmtId="166" fontId="11" fillId="7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/>
    </xf>
    <xf numFmtId="164" fontId="0" fillId="7" borderId="1" applyAlignment="1" pivotButton="0" quotePrefix="0" xfId="0">
      <alignment horizontal="right"/>
    </xf>
    <xf numFmtId="165" fontId="0" fillId="7" borderId="1" applyAlignment="1" pivotButton="0" quotePrefix="0" xfId="0">
      <alignment horizontal="right"/>
    </xf>
    <xf numFmtId="166" fontId="0" fillId="7" borderId="1" applyAlignment="1" pivotButton="0" quotePrefix="0" xfId="0">
      <alignment horizontal="right"/>
    </xf>
    <xf numFmtId="0" fontId="14" fillId="8" borderId="1" applyAlignment="1" pivotButton="0" quotePrefix="0" xfId="0">
      <alignment horizontal="left" vertical="center"/>
    </xf>
    <xf numFmtId="164" fontId="0" fillId="8" borderId="1" applyAlignment="1" pivotButton="0" quotePrefix="0" xfId="0">
      <alignment horizontal="right"/>
    </xf>
    <xf numFmtId="165" fontId="0" fillId="8" borderId="1" applyAlignment="1" pivotButton="0" quotePrefix="0" xfId="0">
      <alignment horizontal="right"/>
    </xf>
    <xf numFmtId="166" fontId="0" fillId="8" borderId="1" applyAlignment="1" pivotButton="0" quotePrefix="0" xfId="0">
      <alignment horizontal="right"/>
    </xf>
    <xf numFmtId="0" fontId="15" fillId="6" borderId="1" pivotButton="0" quotePrefix="0" xfId="0"/>
    <xf numFmtId="164" fontId="15" fillId="6" borderId="1" applyAlignment="1" pivotButton="0" quotePrefix="0" xfId="0">
      <alignment horizontal="right"/>
    </xf>
    <xf numFmtId="165" fontId="15" fillId="6" borderId="1" applyAlignment="1" pivotButton="0" quotePrefix="0" xfId="0">
      <alignment horizontal="right"/>
    </xf>
    <xf numFmtId="166" fontId="15" fillId="6" borderId="1" applyAlignment="1" pivotButton="0" quotePrefix="0" xfId="0">
      <alignment horizontal="right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F8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5" customWidth="1" min="3" max="3"/>
    <col width="9" customWidth="1" min="4" max="4"/>
    <col width="9" customWidth="1" min="5" max="5"/>
    <col width="50" customWidth="1" min="6" max="6"/>
  </cols>
  <sheetData>
    <row r="1" ht="30" customHeight="1">
      <c r="A1" s="1" t="inlineStr">
        <is>
          <t>CFI · AOP 2026–27 · 3-level budget bifurcation   (Vertical › Activity › Cost line · ₹6.00 Cr)</t>
        </is>
      </c>
    </row>
    <row r="2" ht="24" customHeight="1">
      <c r="A2" s="2" t="inlineStr">
        <is>
          <t>Particulars</t>
        </is>
      </c>
      <c r="B2" s="2" t="inlineStr">
        <is>
          <t>Level</t>
        </is>
      </c>
      <c r="C2" s="2" t="inlineStr">
        <is>
          <t>Budget (₹)</t>
        </is>
      </c>
      <c r="D2" s="2" t="inlineStr">
        <is>
          <t>In lacs</t>
        </is>
      </c>
      <c r="E2" s="2" t="inlineStr">
        <is>
          <t>% of AOP</t>
        </is>
      </c>
      <c r="F2" s="2" t="inlineStr">
        <is>
          <t>Description / basis</t>
        </is>
      </c>
    </row>
    <row r="3">
      <c r="A3" s="3" t="inlineStr">
        <is>
          <t>TOTAL — Annual Operating Plan 2026–27 (₹6.00 Cr)</t>
        </is>
      </c>
      <c r="B3" s="4" t="inlineStr"/>
      <c r="C3" s="5">
        <f>C4+C23+C36+C47+C58+C65+C81</f>
        <v/>
      </c>
      <c r="D3" s="6">
        <f>C3/100000</f>
        <v/>
      </c>
      <c r="E3" s="7">
        <f>C3/$C$3</f>
        <v/>
      </c>
      <c r="F3" s="8" t="inlineStr">
        <is>
          <t>71% into programmes · 25% backbone · 4% contingency</t>
        </is>
      </c>
    </row>
    <row r="4">
      <c r="A4" s="9" t="inlineStr">
        <is>
          <t>Project Rakshak</t>
        </is>
      </c>
      <c r="B4" s="10" t="inlineStr">
        <is>
          <t>Vertical</t>
        </is>
      </c>
      <c r="C4" s="11">
        <f>C5+C9+C12+C14+C17+C19</f>
        <v/>
      </c>
      <c r="D4" s="12">
        <f>C4/100000</f>
        <v/>
      </c>
      <c r="E4" s="13">
        <f>C4/$C$3</f>
        <v/>
      </c>
      <c r="F4" s="14" t="inlineStr">
        <is>
          <t>Core programme · audit-to-implementation pipeline</t>
        </is>
      </c>
    </row>
    <row r="5" outlineLevel="1">
      <c r="A5" s="15" t="inlineStr">
        <is>
          <t>Institutional track (IIT / NIT / SPA teams)</t>
        </is>
      </c>
      <c r="B5" s="16" t="inlineStr">
        <is>
          <t>Activity</t>
        </is>
      </c>
      <c r="C5" s="17">
        <f>SUM(C6:C8)</f>
        <v/>
      </c>
      <c r="D5" s="18">
        <f>C5/100000</f>
        <v/>
      </c>
      <c r="E5" s="19">
        <f>C5/$C$3</f>
        <v/>
      </c>
      <c r="F5" s="20" t="inlineStr"/>
    </row>
    <row r="6" outlineLevel="2">
      <c r="A6" s="21" t="inlineStr">
        <is>
          <t>Student team stipends</t>
        </is>
      </c>
      <c r="B6" s="22" t="inlineStr">
        <is>
          <t>Cost line</t>
        </is>
      </c>
      <c r="C6" s="23" t="n">
        <v>3240000</v>
      </c>
      <c r="D6" s="24">
        <f>C6/100000</f>
        <v/>
      </c>
      <c r="E6" s="25" t="n"/>
      <c r="F6" s="26" t="inlineStr">
        <is>
          <t>₹36,000 per team on completion · ~90 institutional sites</t>
        </is>
      </c>
    </row>
    <row r="7" outlineLevel="2">
      <c r="A7" s="21" t="inlineStr">
        <is>
          <t>Expert mentor honoraria</t>
        </is>
      </c>
      <c r="B7" s="22" t="inlineStr">
        <is>
          <t>Cost line</t>
        </is>
      </c>
      <c r="C7" s="23" t="n">
        <v>1300000</v>
      </c>
      <c r="D7" s="24">
        <f>C7/100000</f>
        <v/>
      </c>
      <c r="E7" s="25" t="n"/>
      <c r="F7" s="26" t="inlineStr">
        <is>
          <t>Faculty &amp; road-safety expert mentors across the cohort</t>
        </is>
      </c>
    </row>
    <row r="8" outlineLevel="2">
      <c r="A8" s="21" t="inlineStr">
        <is>
          <t>Campus outreach, onboarding &amp; merchandise</t>
        </is>
      </c>
      <c r="B8" s="22" t="inlineStr">
        <is>
          <t>Cost line</t>
        </is>
      </c>
      <c r="C8" s="23" t="n">
        <v>960000</v>
      </c>
      <c r="D8" s="24">
        <f>C8/100000</f>
        <v/>
      </c>
      <c r="E8" s="25" t="n"/>
      <c r="F8" s="26" t="inlineStr">
        <is>
          <t>Chapter mobilisation, IDs, kits</t>
        </is>
      </c>
    </row>
    <row r="9" outlineLevel="1">
      <c r="A9" s="15" t="inlineStr">
        <is>
          <t>NGO partner track (~20 sites)</t>
        </is>
      </c>
      <c r="B9" s="16" t="inlineStr">
        <is>
          <t>Activity</t>
        </is>
      </c>
      <c r="C9" s="17">
        <f>SUM(C10:C11)</f>
        <v/>
      </c>
      <c r="D9" s="18">
        <f>C9/100000</f>
        <v/>
      </c>
      <c r="E9" s="19">
        <f>C9/$C$3</f>
        <v/>
      </c>
      <c r="F9" s="20" t="inlineStr"/>
    </row>
    <row r="10" outlineLevel="2">
      <c r="A10" s="21" t="inlineStr">
        <is>
          <t>NGO field-team engagement</t>
        </is>
      </c>
      <c r="B10" s="22" t="inlineStr">
        <is>
          <t>Cost line</t>
        </is>
      </c>
      <c r="C10" s="23" t="n">
        <v>2000000</v>
      </c>
      <c r="D10" s="24">
        <f>C10/100000</f>
        <v/>
      </c>
      <c r="E10" s="25" t="n"/>
      <c r="F10" s="26" t="inlineStr">
        <is>
          <t>Field audits via NGO partners</t>
        </is>
      </c>
    </row>
    <row r="11" outlineLevel="2">
      <c r="A11" s="21" t="inlineStr">
        <is>
          <t>CFI desk + 10–15% physical re-checks</t>
        </is>
      </c>
      <c r="B11" s="22" t="inlineStr">
        <is>
          <t>Cost line</t>
        </is>
      </c>
      <c r="C11" s="23" t="n">
        <v>500000</v>
      </c>
      <c r="D11" s="24">
        <f>C11/100000</f>
        <v/>
      </c>
      <c r="E11" s="25" t="n"/>
      <c r="F11" s="26" t="inlineStr">
        <is>
          <t>QA on NGO submissions</t>
        </is>
      </c>
    </row>
    <row r="12" outlineLevel="1">
      <c r="A12" s="15" t="inlineStr">
        <is>
          <t>Certified RSA track (~40 sites)</t>
        </is>
      </c>
      <c r="B12" s="16" t="inlineStr">
        <is>
          <t>Activity</t>
        </is>
      </c>
      <c r="C12" s="17">
        <f>SUM(C13:C13)</f>
        <v/>
      </c>
      <c r="D12" s="18">
        <f>C12/100000</f>
        <v/>
      </c>
      <c r="E12" s="19">
        <f>C12/$C$3</f>
        <v/>
      </c>
      <c r="F12" s="20" t="inlineStr"/>
    </row>
    <row r="13" outlineLevel="2">
      <c r="A13" s="21" t="inlineStr">
        <is>
          <t>CRRI-certified auditor fees (IRC SP:88)</t>
        </is>
      </c>
      <c r="B13" s="22" t="inlineStr">
        <is>
          <t>Cost line</t>
        </is>
      </c>
      <c r="C13" s="23" t="n">
        <v>4500000</v>
      </c>
      <c r="D13" s="24">
        <f>C13/100000</f>
        <v/>
      </c>
      <c r="E13" s="25" t="n"/>
      <c r="F13" s="26" t="inlineStr">
        <is>
          <t>Full audits usable by NHAI without rework</t>
        </is>
      </c>
    </row>
    <row r="14" outlineLevel="1">
      <c r="A14" s="15" t="inlineStr">
        <is>
          <t>Expert Consortium &amp; Audit Manual v1.0</t>
        </is>
      </c>
      <c r="B14" s="16" t="inlineStr">
        <is>
          <t>Activity</t>
        </is>
      </c>
      <c r="C14" s="17">
        <f>SUM(C15:C16)</f>
        <v/>
      </c>
      <c r="D14" s="18">
        <f>C14/100000</f>
        <v/>
      </c>
      <c r="E14" s="19">
        <f>C14/$C$3</f>
        <v/>
      </c>
      <c r="F14" s="20" t="inlineStr"/>
    </row>
    <row r="15" outlineLevel="2">
      <c r="A15" s="21" t="inlineStr">
        <is>
          <t>Expert Consortium (4 meetings)</t>
        </is>
      </c>
      <c r="B15" s="22" t="inlineStr">
        <is>
          <t>Cost line</t>
        </is>
      </c>
      <c r="C15" s="23" t="n">
        <v>1000000</v>
      </c>
      <c r="D15" s="24">
        <f>C15/100000</f>
        <v/>
      </c>
      <c r="E15" s="25" t="n"/>
      <c r="F15" s="26" t="inlineStr">
        <is>
          <t>Sep / Dec / Mar / Jun sittings</t>
        </is>
      </c>
    </row>
    <row r="16" outlineLevel="2">
      <c r="A16" s="21" t="inlineStr">
        <is>
          <t>Audit Manual v1.0 production</t>
        </is>
      </c>
      <c r="B16" s="22" t="inlineStr">
        <is>
          <t>Cost line</t>
        </is>
      </c>
      <c r="C16" s="23" t="n">
        <v>800000</v>
      </c>
      <c r="D16" s="24">
        <f>C16/100000</f>
        <v/>
      </c>
      <c r="E16" s="25" t="n"/>
      <c r="F16" s="26" t="inlineStr">
        <is>
          <t>Authoring, design, print</t>
        </is>
      </c>
    </row>
    <row r="17" outlineLevel="1">
      <c r="A17" s="15" t="inlineStr">
        <is>
          <t>Public accountability dashboard</t>
        </is>
      </c>
      <c r="B17" s="16" t="inlineStr">
        <is>
          <t>Activity</t>
        </is>
      </c>
      <c r="C17" s="17">
        <f>SUM(C18:C18)</f>
        <v/>
      </c>
      <c r="D17" s="18">
        <f>C17/100000</f>
        <v/>
      </c>
      <c r="E17" s="19">
        <f>C17/$C$3</f>
        <v/>
      </c>
      <c r="F17" s="20" t="inlineStr"/>
    </row>
    <row r="18" outlineLevel="2">
      <c r="A18" s="21" t="inlineStr">
        <is>
          <t>Dashboard build, hosting &amp; maintenance</t>
        </is>
      </c>
      <c r="B18" s="22" t="inlineStr">
        <is>
          <t>Cost line</t>
        </is>
      </c>
      <c r="C18" s="23" t="n">
        <v>1200000</v>
      </c>
      <c r="D18" s="24">
        <f>C18/100000</f>
        <v/>
      </c>
      <c r="E18" s="25" t="n"/>
      <c r="F18" s="26" t="inlineStr">
        <is>
          <t>Identification → audit → review → implementation tracker</t>
        </is>
      </c>
    </row>
    <row r="19" outlineLevel="1">
      <c r="A19" s="15" t="inlineStr">
        <is>
          <t>Programme management &amp; field ops</t>
        </is>
      </c>
      <c r="B19" s="16" t="inlineStr">
        <is>
          <t>Activity</t>
        </is>
      </c>
      <c r="C19" s="17">
        <f>SUM(C20:C22)</f>
        <v/>
      </c>
      <c r="D19" s="18">
        <f>C19/100000</f>
        <v/>
      </c>
      <c r="E19" s="19">
        <f>C19/$C$3</f>
        <v/>
      </c>
      <c r="F19" s="20" t="inlineStr"/>
    </row>
    <row r="20" outlineLevel="2">
      <c r="A20" s="21" t="inlineStr">
        <is>
          <t>Programme management (staff allocation)</t>
        </is>
      </c>
      <c r="B20" s="22" t="inlineStr">
        <is>
          <t>Cost line</t>
        </is>
      </c>
      <c r="C20" s="23" t="n">
        <v>1800000</v>
      </c>
      <c r="D20" s="24">
        <f>C20/100000</f>
        <v/>
      </c>
      <c r="E20" s="25" t="n"/>
      <c r="F20" s="26" t="inlineStr">
        <is>
          <t>PM + coordination</t>
        </is>
      </c>
    </row>
    <row r="21" outlineLevel="2">
      <c r="A21" s="21" t="inlineStr">
        <is>
          <t>Field travel &amp; logistics</t>
        </is>
      </c>
      <c r="B21" s="22" t="inlineStr">
        <is>
          <t>Cost line</t>
        </is>
      </c>
      <c r="C21" s="23" t="n">
        <v>700000</v>
      </c>
      <c r="D21" s="24">
        <f>C21/100000</f>
        <v/>
      </c>
      <c r="E21" s="25" t="n"/>
      <c r="F21" s="26" t="inlineStr">
        <is>
          <t>Site visits, DRSC meetings</t>
        </is>
      </c>
    </row>
    <row r="22" outlineLevel="2">
      <c r="A22" s="21" t="inlineStr">
        <is>
          <t>National forum &amp; DRSC presentations</t>
        </is>
      </c>
      <c r="B22" s="22" t="inlineStr">
        <is>
          <t>Cost line</t>
        </is>
      </c>
      <c r="C22" s="23" t="n">
        <v>500000</v>
      </c>
      <c r="D22" s="24">
        <f>C22/100000</f>
        <v/>
      </c>
      <c r="E22" s="25" t="n"/>
      <c r="F22" s="26" t="inlineStr">
        <is>
          <t>12+ DRSC presentations, year-end forum</t>
        </is>
      </c>
    </row>
    <row r="23">
      <c r="A23" s="9" t="inlineStr">
        <is>
          <t>Hit &amp; Run Compensation</t>
        </is>
      </c>
      <c r="B23" s="10" t="inlineStr">
        <is>
          <t>Vertical</t>
        </is>
      </c>
      <c r="C23" s="11">
        <f>C24+C27+C30+C33</f>
        <v/>
      </c>
      <c r="D23" s="12">
        <f>C23/100000</f>
        <v/>
      </c>
      <c r="E23" s="13">
        <f>C23/$C$3</f>
        <v/>
      </c>
      <c r="F23" s="14" t="inlineStr">
        <is>
          <t>Core programme · fix two districts, map eight</t>
        </is>
      </c>
    </row>
    <row r="24" outlineLevel="1">
      <c r="A24" s="15" t="inlineStr">
        <is>
          <t>Scheme audit &amp; process documentation</t>
        </is>
      </c>
      <c r="B24" s="16" t="inlineStr">
        <is>
          <t>Activity</t>
        </is>
      </c>
      <c r="C24" s="17">
        <f>SUM(C25:C26)</f>
        <v/>
      </c>
      <c r="D24" s="18">
        <f>C24/100000</f>
        <v/>
      </c>
      <c r="E24" s="19">
        <f>C24/$C$3</f>
        <v/>
      </c>
      <c r="F24" s="20" t="inlineStr"/>
    </row>
    <row r="25" outlineLevel="2">
      <c r="A25" s="21" t="inlineStr">
        <is>
          <t>Stage-wise pipeline audit fieldwork (Gurugram)</t>
        </is>
      </c>
      <c r="B25" s="22" t="inlineStr">
        <is>
          <t>Cost line</t>
        </is>
      </c>
      <c r="C25" s="23" t="n">
        <v>1200000</v>
      </c>
      <c r="D25" s="24">
        <f>C25/100000</f>
        <v/>
      </c>
      <c r="E25" s="25" t="n"/>
      <c r="F25" s="26" t="inlineStr">
        <is>
          <t>FIR → GI Council disbursal; 20–30 claims tracked end-to-end</t>
        </is>
      </c>
    </row>
    <row r="26" outlineLevel="2">
      <c r="A26" s="21" t="inlineStr">
        <is>
          <t>'Where the Pipeline Breaks' report</t>
        </is>
      </c>
      <c r="B26" s="22" t="inlineStr">
        <is>
          <t>Cost line</t>
        </is>
      </c>
      <c r="C26" s="23" t="n">
        <v>600000</v>
      </c>
      <c r="D26" s="24">
        <f>C26/100000</f>
        <v/>
      </c>
      <c r="E26" s="25" t="n"/>
      <c r="F26" s="26" t="inlineStr">
        <is>
          <t>Scheme audit submitted to MoRTH</t>
        </is>
      </c>
    </row>
    <row r="27" outlineLevel="1">
      <c r="A27" s="15" t="inlineStr">
        <is>
          <t>Institutional capacity building</t>
        </is>
      </c>
      <c r="B27" s="16" t="inlineStr">
        <is>
          <t>Activity</t>
        </is>
      </c>
      <c r="C27" s="17">
        <f>SUM(C28:C29)</f>
        <v/>
      </c>
      <c r="D27" s="18">
        <f>C27/100000</f>
        <v/>
      </c>
      <c r="E27" s="19">
        <f>C27/$C$3</f>
        <v/>
      </c>
      <c r="F27" s="20" t="inlineStr"/>
    </row>
    <row r="28" outlineLevel="2">
      <c r="A28" s="21" t="inlineStr">
        <is>
          <t>Fellow-in-Residence stipend (Tehsildar office)</t>
        </is>
      </c>
      <c r="B28" s="22" t="inlineStr">
        <is>
          <t>Cost line</t>
        </is>
      </c>
      <c r="C28" s="23" t="n">
        <v>1200000</v>
      </c>
      <c r="D28" s="24">
        <f>C28/100000</f>
        <v/>
      </c>
      <c r="E28" s="25" t="n"/>
      <c r="F28" s="26" t="inlineStr">
        <is>
          <t>Embedded fellow · research-embedded, not social work</t>
        </is>
      </c>
    </row>
    <row r="29" outlineLevel="2">
      <c r="A29" s="21" t="inlineStr">
        <is>
          <t>SOP reference cards &amp; training-gap assessment</t>
        </is>
      </c>
      <c r="B29" s="22" t="inlineStr">
        <is>
          <t>Cost line</t>
        </is>
      </c>
      <c r="C29" s="23" t="n">
        <v>800000</v>
      </c>
      <c r="D29" s="24">
        <f>C29/100000</f>
        <v/>
      </c>
      <c r="E29" s="25" t="n"/>
      <c r="F29" s="26" t="inlineStr">
        <is>
          <t>District capacity building</t>
        </is>
      </c>
    </row>
    <row r="30" outlineLevel="1">
      <c r="A30" s="15" t="inlineStr">
        <is>
          <t>Victim identification &amp; AASHA</t>
        </is>
      </c>
      <c r="B30" s="16" t="inlineStr">
        <is>
          <t>Activity</t>
        </is>
      </c>
      <c r="C30" s="17">
        <f>SUM(C31:C32)</f>
        <v/>
      </c>
      <c r="D30" s="18">
        <f>C30/100000</f>
        <v/>
      </c>
      <c r="E30" s="19">
        <f>C30/$C$3</f>
        <v/>
      </c>
      <c r="F30" s="20" t="inlineStr"/>
    </row>
    <row r="31" outlineLevel="2">
      <c r="A31" s="21" t="inlineStr">
        <is>
          <t>DLSA-partnered helpdesks</t>
        </is>
      </c>
      <c r="B31" s="22" t="inlineStr">
        <is>
          <t>Cost line</t>
        </is>
      </c>
      <c r="C31" s="23" t="n">
        <v>800000</v>
      </c>
      <c r="D31" s="24">
        <f>C31/100000</f>
        <v/>
      </c>
      <c r="E31" s="25" t="n"/>
      <c r="F31" s="26" t="inlineStr">
        <is>
          <t>Trauma-ward legal helpdesks</t>
        </is>
      </c>
    </row>
    <row r="32" outlineLevel="2">
      <c r="A32" s="21" t="inlineStr">
        <is>
          <t>AASHA QR deployment</t>
        </is>
      </c>
      <c r="B32" s="22" t="inlineStr">
        <is>
          <t>Cost line</t>
        </is>
      </c>
      <c r="C32" s="23" t="n">
        <v>600000</v>
      </c>
      <c r="D32" s="24">
        <f>C32/100000</f>
        <v/>
      </c>
      <c r="E32" s="25" t="n"/>
      <c r="F32" s="26" t="inlineStr">
        <is>
          <t>Police stations &amp; trauma centres; usage measured monthly</t>
        </is>
      </c>
    </row>
    <row r="33" outlineLevel="1">
      <c r="A33" s="15" t="inlineStr">
        <is>
          <t>Policy audit &amp; advocacy</t>
        </is>
      </c>
      <c r="B33" s="16" t="inlineStr">
        <is>
          <t>Activity</t>
        </is>
      </c>
      <c r="C33" s="17">
        <f>SUM(C34:C35)</f>
        <v/>
      </c>
      <c r="D33" s="18">
        <f>C33/100000</f>
        <v/>
      </c>
      <c r="E33" s="19">
        <f>C33/$C$3</f>
        <v/>
      </c>
      <c r="F33" s="20" t="inlineStr"/>
    </row>
    <row r="34" outlineLevel="2">
      <c r="A34" s="21" t="inlineStr">
        <is>
          <t>Quarterly findings &amp; public brief</t>
        </is>
      </c>
      <c r="B34" s="22" t="inlineStr">
        <is>
          <t>Cost line</t>
        </is>
      </c>
      <c r="C34" s="23" t="n">
        <v>500000</v>
      </c>
      <c r="D34" s="24">
        <f>C34/100000</f>
        <v/>
      </c>
      <c r="E34" s="25" t="n"/>
      <c r="F34" s="26" t="inlineStr">
        <is>
          <t>Publishing cadence</t>
        </is>
      </c>
    </row>
    <row r="35" outlineLevel="2">
      <c r="A35" s="21" t="inlineStr">
        <is>
          <t>Advocacy &amp; MoRTH engagement travel</t>
        </is>
      </c>
      <c r="B35" s="22" t="inlineStr">
        <is>
          <t>Cost line</t>
        </is>
      </c>
      <c r="C35" s="23" t="n">
        <v>300000</v>
      </c>
      <c r="D35" s="24">
        <f>C35/100000</f>
        <v/>
      </c>
      <c r="E35" s="25" t="n"/>
      <c r="F35" s="26" t="inlineStr">
        <is>
          <t>Stakeholder engagement</t>
        </is>
      </c>
    </row>
    <row r="36">
      <c r="A36" s="9" t="inlineStr">
        <is>
          <t>Civic &amp; GovTech (SATARK)</t>
        </is>
      </c>
      <c r="B36" s="10" t="inlineStr">
        <is>
          <t>Vertical</t>
        </is>
      </c>
      <c r="C36" s="11">
        <f>C37+C41+C44</f>
        <v/>
      </c>
      <c r="D36" s="12">
        <f>C36/100000</f>
        <v/>
      </c>
      <c r="E36" s="13">
        <f>C36/$C$3</f>
        <v/>
      </c>
      <c r="F36" s="14" t="inlineStr">
        <is>
          <t>Core programme · enforcement co-pilot + data stack</t>
        </is>
      </c>
    </row>
    <row r="37" outlineLevel="1">
      <c r="A37" s="15" t="inlineStr">
        <is>
          <t>SATARK scale to 30 cities</t>
        </is>
      </c>
      <c r="B37" s="16" t="inlineStr">
        <is>
          <t>Activity</t>
        </is>
      </c>
      <c r="C37" s="17">
        <f>SUM(C38:C40)</f>
        <v/>
      </c>
      <c r="D37" s="18">
        <f>C37/100000</f>
        <v/>
      </c>
      <c r="E37" s="19">
        <f>C37/$C$3</f>
        <v/>
      </c>
      <c r="F37" s="20" t="inlineStr"/>
    </row>
    <row r="38" outlineLevel="2">
      <c r="A38" s="21" t="inlineStr">
        <is>
          <t>SATARK engineering &amp; product</t>
        </is>
      </c>
      <c r="B38" s="22" t="inlineStr">
        <is>
          <t>Cost line</t>
        </is>
      </c>
      <c r="C38" s="23" t="n">
        <v>2500000</v>
      </c>
      <c r="D38" s="24">
        <f>C38/100000</f>
        <v/>
      </c>
      <c r="E38" s="25" t="n"/>
      <c r="F38" s="26" t="inlineStr">
        <is>
          <t>ANPR, ULIP, rule engine, billboard + officer app</t>
        </is>
      </c>
    </row>
    <row r="39" outlineLevel="2">
      <c r="A39" s="21" t="inlineStr">
        <is>
          <t>City deployment &amp; rollout</t>
        </is>
      </c>
      <c r="B39" s="22" t="inlineStr">
        <is>
          <t>Cost line</t>
        </is>
      </c>
      <c r="C39" s="23" t="n">
        <v>2000000</v>
      </c>
      <c r="D39" s="24">
        <f>C39/100000</f>
        <v/>
      </c>
      <c r="E39" s="25" t="n"/>
      <c r="F39" s="26" t="inlineStr">
        <is>
          <t>Toward 30 cities · Gurugram, Pune, Ahmedabad first</t>
        </is>
      </c>
    </row>
    <row r="40" outlineLevel="2">
      <c r="A40" s="21" t="inlineStr">
        <is>
          <t>Cloud, ANPR &amp; ULIP integration</t>
        </is>
      </c>
      <c r="B40" s="22" t="inlineStr">
        <is>
          <t>Cost line</t>
        </is>
      </c>
      <c r="C40" s="23" t="n">
        <v>1500000</v>
      </c>
      <c r="D40" s="24">
        <f>C40/100000</f>
        <v/>
      </c>
      <c r="E40" s="25" t="n"/>
      <c r="F40" s="26" t="inlineStr">
        <is>
          <t>Compute, APIs, camera integration</t>
        </is>
      </c>
    </row>
    <row r="41" outlineLevel="1">
      <c r="A41" s="15" t="inlineStr">
        <is>
          <t>Open data stack (4 products)</t>
        </is>
      </c>
      <c r="B41" s="16" t="inlineStr">
        <is>
          <t>Activity</t>
        </is>
      </c>
      <c r="C41" s="17">
        <f>SUM(C42:C43)</f>
        <v/>
      </c>
      <c r="D41" s="18">
        <f>C41/100000</f>
        <v/>
      </c>
      <c r="E41" s="19">
        <f>C41/$C$3</f>
        <v/>
      </c>
      <c r="F41" s="20" t="inlineStr"/>
    </row>
    <row r="42" outlineLevel="2">
      <c r="A42" s="21" t="inlineStr">
        <is>
          <t>Open data product maintenance &amp; hosting</t>
        </is>
      </c>
      <c r="B42" s="22" t="inlineStr">
        <is>
          <t>Cost line</t>
        </is>
      </c>
      <c r="C42" s="23" t="n">
        <v>1500000</v>
      </c>
      <c r="D42" s="24">
        <f>C42/100000</f>
        <v/>
      </c>
      <c r="E42" s="25" t="n"/>
      <c r="F42" s="26" t="inlineStr">
        <is>
          <t>Defect Repository, Parliament tracker, SC Litigation Tracker, Crash Dashboard</t>
        </is>
      </c>
    </row>
    <row r="43" outlineLevel="2">
      <c r="A43" s="21" t="inlineStr">
        <is>
          <t>Data engineering &amp; updates</t>
        </is>
      </c>
      <c r="B43" s="22" t="inlineStr">
        <is>
          <t>Cost line</t>
        </is>
      </c>
      <c r="C43" s="23" t="n">
        <v>1000000</v>
      </c>
      <c r="D43" s="24">
        <f>C43/100000</f>
        <v/>
      </c>
      <c r="E43" s="25" t="n"/>
      <c r="F43" s="26" t="inlineStr">
        <is>
          <t>Daily / weekly refresh, 146 districts</t>
        </is>
      </c>
    </row>
    <row r="44" outlineLevel="1">
      <c r="A44" s="15" t="inlineStr">
        <is>
          <t>GovTech exploration &amp; partnerships</t>
        </is>
      </c>
      <c r="B44" s="16" t="inlineStr">
        <is>
          <t>Activity</t>
        </is>
      </c>
      <c r="C44" s="17">
        <f>SUM(C45:C46)</f>
        <v/>
      </c>
      <c r="D44" s="18">
        <f>C44/100000</f>
        <v/>
      </c>
      <c r="E44" s="19">
        <f>C44/$C$3</f>
        <v/>
      </c>
      <c r="F44" s="20" t="inlineStr"/>
    </row>
    <row r="45" outlineLevel="2">
      <c r="A45" s="21" t="inlineStr">
        <is>
          <t>GovTech scoping &amp; partnerships</t>
        </is>
      </c>
      <c r="B45" s="22" t="inlineStr">
        <is>
          <t>Cost line</t>
        </is>
      </c>
      <c r="C45" s="23" t="n">
        <v>1000000</v>
      </c>
      <c r="D45" s="24">
        <f>C45/100000</f>
        <v/>
      </c>
      <c r="E45" s="25" t="n"/>
      <c r="F45" s="26" t="inlineStr">
        <is>
          <t>2+ new DPG opportunities scoped</t>
        </is>
      </c>
    </row>
    <row r="46" outlineLevel="2">
      <c r="A46" s="21" t="inlineStr">
        <is>
          <t>Pilot / DPG prototyping</t>
        </is>
      </c>
      <c r="B46" s="22" t="inlineStr">
        <is>
          <t>Cost line</t>
        </is>
      </c>
      <c r="C46" s="23" t="n">
        <v>500000</v>
      </c>
      <c r="D46" s="24">
        <f>C46/100000</f>
        <v/>
      </c>
      <c r="E46" s="25" t="n"/>
      <c r="F46" s="26" t="inlineStr">
        <is>
          <t>ULIP / MoRTH ecosystem</t>
        </is>
      </c>
    </row>
    <row r="47">
      <c r="A47" s="9" t="inlineStr">
        <is>
          <t>Marketing Campaign</t>
        </is>
      </c>
      <c r="B47" s="10" t="inlineStr">
        <is>
          <t>Vertical</t>
        </is>
      </c>
      <c r="C47" s="11">
        <f>C48+C50+C53+C56</f>
        <v/>
      </c>
      <c r="D47" s="12">
        <f>C47/100000</f>
        <v/>
      </c>
      <c r="E47" s="13">
        <f>C47/$C$3</f>
        <v/>
      </c>
      <c r="F47" s="14" t="inlineStr">
        <is>
          <t>Enabler · 'Safety is the New Swag' (all four pillars now funded)</t>
        </is>
      </c>
    </row>
    <row r="48" outlineLevel="1">
      <c r="A48" s="15" t="inlineStr">
        <is>
          <t>Media advocacy</t>
        </is>
      </c>
      <c r="B48" s="16" t="inlineStr">
        <is>
          <t>Activity</t>
        </is>
      </c>
      <c r="C48" s="17">
        <f>SUM(C49:C49)</f>
        <v/>
      </c>
      <c r="D48" s="18">
        <f>C48/100000</f>
        <v/>
      </c>
      <c r="E48" s="19">
        <f>C48/$C$3</f>
        <v/>
      </c>
      <c r="F48" s="20" t="inlineStr"/>
    </row>
    <row r="49" outlineLevel="2">
      <c r="A49" s="21" t="inlineStr">
        <is>
          <t>Editorial partnerships, radio &amp; podcast, PSA</t>
        </is>
      </c>
      <c r="B49" s="22" t="inlineStr">
        <is>
          <t>Cost line</t>
        </is>
      </c>
      <c r="C49" s="23" t="n">
        <v>1500000</v>
      </c>
      <c r="D49" s="24">
        <f>C49/100000</f>
        <v/>
      </c>
      <c r="E49" s="25" t="n"/>
      <c r="F49" s="26" t="inlineStr">
        <is>
          <t>Earned + owned media</t>
        </is>
      </c>
    </row>
    <row r="50" outlineLevel="1">
      <c r="A50" s="15" t="inlineStr">
        <is>
          <t>Digital advocacy</t>
        </is>
      </c>
      <c r="B50" s="16" t="inlineStr">
        <is>
          <t>Activity</t>
        </is>
      </c>
      <c r="C50" s="17">
        <f>SUM(C51:C52)</f>
        <v/>
      </c>
      <c r="D50" s="18">
        <f>C50/100000</f>
        <v/>
      </c>
      <c r="E50" s="19">
        <f>C50/$C$3</f>
        <v/>
      </c>
      <c r="F50" s="20" t="inlineStr"/>
    </row>
    <row r="51" outlineLevel="2">
      <c r="A51" s="21" t="inlineStr">
        <is>
          <t>50 micro-influencers &amp; branded short films</t>
        </is>
      </c>
      <c r="B51" s="22" t="inlineStr">
        <is>
          <t>Cost line</t>
        </is>
      </c>
      <c r="C51" s="23" t="n">
        <v>1400000</v>
      </c>
      <c r="D51" s="24">
        <f>C51/100000</f>
        <v/>
      </c>
      <c r="E51" s="25" t="n"/>
      <c r="F51" s="26" t="inlineStr">
        <is>
          <t>#SafeSwag creator programme</t>
        </is>
      </c>
    </row>
    <row r="52" outlineLevel="2">
      <c r="A52" s="21" t="inlineStr">
        <is>
          <t>Digital IP &amp; content production</t>
        </is>
      </c>
      <c r="B52" s="22" t="inlineStr">
        <is>
          <t>Cost line</t>
        </is>
      </c>
      <c r="C52" s="23" t="n">
        <v>600000</v>
      </c>
      <c r="D52" s="24">
        <f>C52/100000</f>
        <v/>
      </c>
      <c r="E52" s="25" t="n"/>
      <c r="F52" s="26" t="inlineStr">
        <is>
          <t>Short films, reels</t>
        </is>
      </c>
    </row>
    <row r="53" outlineLevel="1">
      <c r="A53" s="15" t="inlineStr">
        <is>
          <t>Offline awareness</t>
        </is>
      </c>
      <c r="B53" s="16" t="inlineStr">
        <is>
          <t>Activity</t>
        </is>
      </c>
      <c r="C53" s="17">
        <f>SUM(C54:C55)</f>
        <v/>
      </c>
      <c r="D53" s="18">
        <f>C53/100000</f>
        <v/>
      </c>
      <c r="E53" s="19">
        <f>C53/$C$3</f>
        <v/>
      </c>
      <c r="F53" s="20" t="inlineStr"/>
    </row>
    <row r="54" outlineLevel="2">
      <c r="A54" s="21" t="inlineStr">
        <is>
          <t>OOH in 3–4 cities</t>
        </is>
      </c>
      <c r="B54" s="22" t="inlineStr">
        <is>
          <t>Cost line</t>
        </is>
      </c>
      <c r="C54" s="23" t="n">
        <v>1000000</v>
      </c>
      <c r="D54" s="24">
        <f>C54/100000</f>
        <v/>
      </c>
      <c r="E54" s="25" t="n"/>
      <c r="F54" s="26" t="inlineStr">
        <is>
          <t>Billboards, transit</t>
        </is>
      </c>
    </row>
    <row r="55" outlineLevel="2">
      <c r="A55" s="21" t="inlineStr">
        <is>
          <t>Guerilla installations &amp; event co-branding</t>
        </is>
      </c>
      <c r="B55" s="22" t="inlineStr">
        <is>
          <t>Cost line</t>
        </is>
      </c>
      <c r="C55" s="23" t="n">
        <v>500000</v>
      </c>
      <c r="D55" s="24">
        <f>C55/100000</f>
        <v/>
      </c>
      <c r="E55" s="25" t="n"/>
      <c r="F55" s="26" t="inlineStr"/>
    </row>
    <row r="56" outlineLevel="1">
      <c r="A56" s="15" t="inlineStr">
        <is>
          <t>Community mobilization</t>
        </is>
      </c>
      <c r="B56" s="16" t="inlineStr">
        <is>
          <t>Activity</t>
        </is>
      </c>
      <c r="C56" s="17">
        <f>SUM(C57:C57)</f>
        <v/>
      </c>
      <c r="D56" s="18">
        <f>C56/100000</f>
        <v/>
      </c>
      <c r="E56" s="19">
        <f>C56/$C$3</f>
        <v/>
      </c>
      <c r="F56" s="20" t="inlineStr"/>
    </row>
    <row r="57" outlineLevel="2">
      <c r="A57" s="21" t="inlineStr">
        <is>
          <t>College competitions &amp; app-based engagement</t>
        </is>
      </c>
      <c r="B57" s="22" t="inlineStr">
        <is>
          <t>Cost line</t>
        </is>
      </c>
      <c r="C57" s="23" t="n">
        <v>1000000</v>
      </c>
      <c r="D57" s="24">
        <f>C57/100000</f>
        <v/>
      </c>
      <c r="E57" s="25" t="n"/>
      <c r="F57" s="26" t="inlineStr">
        <is>
          <t>Real-life stories</t>
        </is>
      </c>
    </row>
    <row r="58">
      <c r="A58" s="9" t="inlineStr">
        <is>
          <t>Bets (SSI + Gig Rider)</t>
        </is>
      </c>
      <c r="B58" s="10" t="inlineStr">
        <is>
          <t>Vertical</t>
        </is>
      </c>
      <c r="C58" s="11">
        <f>C59+C62</f>
        <v/>
      </c>
      <c r="D58" s="12">
        <f>C58/100000</f>
        <v/>
      </c>
      <c r="E58" s="13">
        <f>C58/$C$3</f>
        <v/>
      </c>
      <c r="F58" s="14" t="inlineStr">
        <is>
          <t>Seed-funded, stage-gated · scale only if the pilot earns it</t>
        </is>
      </c>
    </row>
    <row r="59" outlineLevel="1">
      <c r="A59" s="15" t="inlineStr">
        <is>
          <t>School Safety Index — seed (₹0.10 Cr)</t>
        </is>
      </c>
      <c r="B59" s="16" t="inlineStr">
        <is>
          <t>Activity</t>
        </is>
      </c>
      <c r="C59" s="17">
        <f>SUM(C60:C61)</f>
        <v/>
      </c>
      <c r="D59" s="18">
        <f>C59/100000</f>
        <v/>
      </c>
      <c r="E59" s="19">
        <f>C59/$C$3</f>
        <v/>
      </c>
      <c r="F59" s="20" t="inlineStr"/>
    </row>
    <row r="60" outlineLevel="2">
      <c r="A60" s="21" t="inlineStr">
        <is>
          <t>IRC:SP:32 rubric validation &amp; Zone Captain pilot</t>
        </is>
      </c>
      <c r="B60" s="22" t="inlineStr">
        <is>
          <t>Cost line</t>
        </is>
      </c>
      <c r="C60" s="23" t="n">
        <v>700000</v>
      </c>
      <c r="D60" s="24">
        <f>C60/100000</f>
        <v/>
      </c>
      <c r="E60" s="25" t="n"/>
      <c r="F60" s="26" t="inlineStr">
        <is>
          <t>~100 school zones in one anchor city</t>
        </is>
      </c>
    </row>
    <row r="61" outlineLevel="2">
      <c r="A61" s="21" t="inlineStr">
        <is>
          <t>Per-school costing &amp; board-ready design</t>
        </is>
      </c>
      <c r="B61" s="22" t="inlineStr">
        <is>
          <t>Cost line</t>
        </is>
      </c>
      <c r="C61" s="23" t="n">
        <v>300000</v>
      </c>
      <c r="D61" s="24">
        <f>C61/100000</f>
        <v/>
      </c>
      <c r="E61" s="25" t="n"/>
      <c r="F61" s="26" t="inlineStr">
        <is>
          <t>Gate to a funded multi-city index in Year 3</t>
        </is>
      </c>
    </row>
    <row r="62" outlineLevel="1">
      <c r="A62" s="15" t="inlineStr">
        <is>
          <t>Gig Rider Safety — seed (₹0.10 Cr)</t>
        </is>
      </c>
      <c r="B62" s="16" t="inlineStr">
        <is>
          <t>Activity</t>
        </is>
      </c>
      <c r="C62" s="17">
        <f>SUM(C63:C64)</f>
        <v/>
      </c>
      <c r="D62" s="18">
        <f>C62/100000</f>
        <v/>
      </c>
      <c r="E62" s="19">
        <f>C62/$C$3</f>
        <v/>
      </c>
      <c r="F62" s="20" t="inlineStr"/>
    </row>
    <row r="63" outlineLevel="2">
      <c r="A63" s="21" t="inlineStr">
        <is>
          <t>Gig crash-data scoping study</t>
        </is>
      </c>
      <c r="B63" s="22" t="inlineStr">
        <is>
          <t>Cost line</t>
        </is>
      </c>
      <c r="C63" s="23" t="n">
        <v>600000</v>
      </c>
      <c r="D63" s="24">
        <f>C63/100000</f>
        <v/>
      </c>
      <c r="E63" s="25" t="n"/>
      <c r="F63" s="26" t="inlineStr">
        <is>
          <t>National study parked until field model proven</t>
        </is>
      </c>
    </row>
    <row r="64" outlineLevel="2">
      <c r="A64" s="21" t="inlineStr">
        <is>
          <t>Platform + OMI Foundation engagements</t>
        </is>
      </c>
      <c r="B64" s="22" t="inlineStr">
        <is>
          <t>Cost line</t>
        </is>
      </c>
      <c r="C64" s="23" t="n">
        <v>400000</v>
      </c>
      <c r="D64" s="24">
        <f>C64/100000</f>
        <v/>
      </c>
      <c r="E64" s="25" t="n"/>
      <c r="F64" s="26" t="inlineStr">
        <is>
          <t>3+ platforms at the table</t>
        </is>
      </c>
    </row>
    <row r="65">
      <c r="A65" s="9" t="inlineStr">
        <is>
          <t>Trust Admin (Org Backbone)</t>
        </is>
      </c>
      <c r="B65" s="10" t="inlineStr">
        <is>
          <t>Vertical</t>
        </is>
      </c>
      <c r="C65" s="11">
        <f>C66+C69+C71+C77+C79</f>
        <v/>
      </c>
      <c r="D65" s="12">
        <f>C65/100000</f>
        <v/>
      </c>
      <c r="E65" s="13">
        <f>C65/$C$3</f>
        <v/>
      </c>
      <c r="F65" s="14" t="inlineStr">
        <is>
          <t>Backbone · 25% of AOP · figures exact from AOP org-backbone slide</t>
        </is>
      </c>
    </row>
    <row r="66" outlineLevel="1">
      <c r="A66" s="15" t="inlineStr">
        <is>
          <t>Core team salaries &amp; benefits</t>
        </is>
      </c>
      <c r="B66" s="16" t="inlineStr">
        <is>
          <t>Activity</t>
        </is>
      </c>
      <c r="C66" s="17">
        <f>SUM(C67:C68)</f>
        <v/>
      </c>
      <c r="D66" s="18">
        <f>C66/100000</f>
        <v/>
      </c>
      <c r="E66" s="19">
        <f>C66/$C$3</f>
        <v/>
      </c>
      <c r="F66" s="20" t="inlineStr"/>
    </row>
    <row r="67" outlineLevel="2">
      <c r="A67" s="21" t="inlineStr">
        <is>
          <t>Core team salaries &amp; benefits</t>
        </is>
      </c>
      <c r="B67" s="22" t="inlineStr">
        <is>
          <t>Cost line</t>
        </is>
      </c>
      <c r="C67" s="23" t="n">
        <v>4200000</v>
      </c>
      <c r="D67" s="24">
        <f>C67/100000</f>
        <v/>
      </c>
      <c r="E67" s="25" t="n"/>
      <c r="F67" s="26" t="inlineStr">
        <is>
          <t>Aggregate core staff cost (individual figures withheld)</t>
        </is>
      </c>
    </row>
    <row r="68" outlineLevel="2">
      <c r="A68" s="21" t="inlineStr">
        <is>
          <t>Safer Mobility Impact Fellowship (SMIF)</t>
        </is>
      </c>
      <c r="B68" s="22" t="inlineStr">
        <is>
          <t>Cost line</t>
        </is>
      </c>
      <c r="C68" s="23" t="n">
        <v>3600000</v>
      </c>
      <c r="D68" s="24">
        <f>C68/100000</f>
        <v/>
      </c>
      <c r="E68" s="25" t="n"/>
      <c r="F68" s="26" t="inlineStr">
        <is>
          <t>★ Fellow cohort, aggregate (~6 fellows across tracks)</t>
        </is>
      </c>
    </row>
    <row r="69" outlineLevel="1">
      <c r="A69" s="15" t="inlineStr">
        <is>
          <t>IRSC institutional support &amp; expert consultation</t>
        </is>
      </c>
      <c r="B69" s="16" t="inlineStr">
        <is>
          <t>Activity</t>
        </is>
      </c>
      <c r="C69" s="17">
        <f>SUM(C70:C70)</f>
        <v/>
      </c>
      <c r="D69" s="18">
        <f>C69/100000</f>
        <v/>
      </c>
      <c r="E69" s="19">
        <f>C69/$C$3</f>
        <v/>
      </c>
      <c r="F69" s="20" t="inlineStr"/>
    </row>
    <row r="70" outlineLevel="2">
      <c r="A70" s="21" t="inlineStr">
        <is>
          <t>IRSC institutional support &amp; expert consultation</t>
        </is>
      </c>
      <c r="B70" s="22" t="inlineStr">
        <is>
          <t>Cost line</t>
        </is>
      </c>
      <c r="C70" s="23" t="n">
        <v>4200000</v>
      </c>
      <c r="D70" s="24">
        <f>C70/100000</f>
        <v/>
      </c>
      <c r="E70" s="25" t="n"/>
      <c r="F70" s="26" t="inlineStr">
        <is>
          <t>Shared expert / leadership consultation</t>
        </is>
      </c>
    </row>
    <row r="71" outlineLevel="1">
      <c r="A71" s="15" t="inlineStr">
        <is>
          <t>IT, SaaS &amp; AI tooling</t>
        </is>
      </c>
      <c r="B71" s="16" t="inlineStr">
        <is>
          <t>Activity</t>
        </is>
      </c>
      <c r="C71" s="17">
        <f>SUM(C72:C76)</f>
        <v/>
      </c>
      <c r="D71" s="18">
        <f>C71/100000</f>
        <v/>
      </c>
      <c r="E71" s="19">
        <f>C71/$C$3</f>
        <v/>
      </c>
      <c r="F71" s="20" t="inlineStr"/>
    </row>
    <row r="72" outlineLevel="2">
      <c r="A72" s="21" t="inlineStr">
        <is>
          <t>AI tooling — Claude (Team) + Codex / AI subscriptions</t>
        </is>
      </c>
      <c r="B72" s="22" t="inlineStr">
        <is>
          <t>Cost line</t>
        </is>
      </c>
      <c r="C72" s="23" t="n">
        <v>600000</v>
      </c>
      <c r="D72" s="24">
        <f>C72/100000</f>
        <v/>
      </c>
      <c r="E72" s="25" t="n"/>
      <c r="F72" s="26" t="inlineStr">
        <is>
          <t>★ AI assistants for build, research &amp; ops</t>
        </is>
      </c>
    </row>
    <row r="73" outlineLevel="2">
      <c r="A73" s="21" t="inlineStr">
        <is>
          <t>Google Workspace &amp; email</t>
        </is>
      </c>
      <c r="B73" s="22" t="inlineStr">
        <is>
          <t>Cost line</t>
        </is>
      </c>
      <c r="C73" s="23" t="n">
        <v>300000</v>
      </c>
      <c r="D73" s="24">
        <f>C73/100000</f>
        <v/>
      </c>
      <c r="E73" s="25" t="n"/>
      <c r="F73" s="26" t="inlineStr"/>
    </row>
    <row r="74" outlineLevel="2">
      <c r="A74" s="21" t="inlineStr">
        <is>
          <t>Slack &amp; collaboration</t>
        </is>
      </c>
      <c r="B74" s="22" t="inlineStr">
        <is>
          <t>Cost line</t>
        </is>
      </c>
      <c r="C74" s="23" t="n">
        <v>200000</v>
      </c>
      <c r="D74" s="24">
        <f>C74/100000</f>
        <v/>
      </c>
      <c r="E74" s="25" t="n"/>
      <c r="F74" s="26" t="inlineStr"/>
    </row>
    <row r="75" outlineLevel="2">
      <c r="A75" s="21" t="inlineStr">
        <is>
          <t>HRMS 'CFI People' &amp; other SaaS</t>
        </is>
      </c>
      <c r="B75" s="22" t="inlineStr">
        <is>
          <t>Cost line</t>
        </is>
      </c>
      <c r="C75" s="23" t="n">
        <v>200000</v>
      </c>
      <c r="D75" s="24">
        <f>C75/100000</f>
        <v/>
      </c>
      <c r="E75" s="25" t="n"/>
      <c r="F75" s="26" t="inlineStr"/>
    </row>
    <row r="76" outlineLevel="2">
      <c r="A76" s="21" t="inlineStr">
        <is>
          <t>Cloud, hosting &amp; domains</t>
        </is>
      </c>
      <c r="B76" s="22" t="inlineStr">
        <is>
          <t>Cost line</t>
        </is>
      </c>
      <c r="C76" s="23" t="n">
        <v>100000</v>
      </c>
      <c r="D76" s="24">
        <f>C76/100000</f>
        <v/>
      </c>
      <c r="E76" s="25" t="n"/>
      <c r="F76" s="26" t="inlineStr"/>
    </row>
    <row r="77" outlineLevel="1">
      <c r="A77" s="15" t="inlineStr">
        <is>
          <t>M&amp;E, statutory &amp; impact audit</t>
        </is>
      </c>
      <c r="B77" s="16" t="inlineStr">
        <is>
          <t>Activity</t>
        </is>
      </c>
      <c r="C77" s="17">
        <f>SUM(C78:C78)</f>
        <v/>
      </c>
      <c r="D77" s="18">
        <f>C77/100000</f>
        <v/>
      </c>
      <c r="E77" s="19">
        <f>C77/$C$3</f>
        <v/>
      </c>
      <c r="F77" s="20" t="inlineStr"/>
    </row>
    <row r="78" outlineLevel="2">
      <c r="A78" s="21" t="inlineStr">
        <is>
          <t>M&amp;E, statutory &amp; impact audit</t>
        </is>
      </c>
      <c r="B78" s="22" t="inlineStr">
        <is>
          <t>Cost line</t>
        </is>
      </c>
      <c r="C78" s="23" t="n">
        <v>600000</v>
      </c>
      <c r="D78" s="24">
        <f>C78/100000</f>
        <v/>
      </c>
      <c r="E78" s="25" t="n"/>
      <c r="F78" s="26" t="inlineStr"/>
    </row>
    <row r="79" outlineLevel="1">
      <c r="A79" s="15" t="inlineStr">
        <is>
          <t>Travel, branding &amp; compliance</t>
        </is>
      </c>
      <c r="B79" s="16" t="inlineStr">
        <is>
          <t>Activity</t>
        </is>
      </c>
      <c r="C79" s="17">
        <f>SUM(C80:C80)</f>
        <v/>
      </c>
      <c r="D79" s="18">
        <f>C79/100000</f>
        <v/>
      </c>
      <c r="E79" s="19">
        <f>C79/$C$3</f>
        <v/>
      </c>
      <c r="F79" s="20" t="inlineStr"/>
    </row>
    <row r="80" outlineLevel="2">
      <c r="A80" s="21" t="inlineStr">
        <is>
          <t>Travel, branding &amp; compliance</t>
        </is>
      </c>
      <c r="B80" s="22" t="inlineStr">
        <is>
          <t>Cost line</t>
        </is>
      </c>
      <c r="C80" s="23" t="n">
        <v>1100000</v>
      </c>
      <c r="D80" s="24">
        <f>C80/100000</f>
        <v/>
      </c>
      <c r="E80" s="25" t="n"/>
      <c r="F80" s="26" t="inlineStr"/>
    </row>
    <row r="81">
      <c r="A81" s="9" t="inlineStr">
        <is>
          <t>Contingency (4%)</t>
        </is>
      </c>
      <c r="B81" s="10" t="inlineStr">
        <is>
          <t>Vertical</t>
        </is>
      </c>
      <c r="C81" s="11">
        <f>C82</f>
        <v/>
      </c>
      <c r="D81" s="12">
        <f>C81/100000</f>
        <v/>
      </c>
      <c r="E81" s="13">
        <f>C81/$C$3</f>
        <v/>
      </c>
      <c r="F81" s="14" t="inlineStr">
        <is>
          <t>Reserve</t>
        </is>
      </c>
    </row>
    <row r="82" outlineLevel="1">
      <c r="A82" s="15" t="inlineStr">
        <is>
          <t>Contingency</t>
        </is>
      </c>
      <c r="B82" s="16" t="inlineStr">
        <is>
          <t>Activity</t>
        </is>
      </c>
      <c r="C82" s="17">
        <f>SUM(C83:C83)</f>
        <v/>
      </c>
      <c r="D82" s="18">
        <f>C82/100000</f>
        <v/>
      </c>
      <c r="E82" s="19">
        <f>C82/$C$3</f>
        <v/>
      </c>
      <c r="F82" s="20" t="inlineStr"/>
    </row>
    <row r="83" outlineLevel="2">
      <c r="A83" s="21" t="inlineStr">
        <is>
          <t>Contingency reserve (4%)</t>
        </is>
      </c>
      <c r="B83" s="22" t="inlineStr">
        <is>
          <t>Cost line</t>
        </is>
      </c>
      <c r="C83" s="23" t="n">
        <v>2400000</v>
      </c>
      <c r="D83" s="24">
        <f>C83/100000</f>
        <v/>
      </c>
      <c r="E83" s="25" t="n"/>
      <c r="F83" s="26" t="inlineStr">
        <is>
          <t>Held against programme + admin spend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0" customWidth="1" min="4" max="4"/>
  </cols>
  <sheetData>
    <row r="1" ht="28" customHeight="1">
      <c r="A1" s="27" t="inlineStr">
        <is>
          <t>AOP 2026–27 · Summary by vertical (Level 1)</t>
        </is>
      </c>
    </row>
    <row r="2">
      <c r="A2" s="28" t="inlineStr">
        <is>
          <t>Vertical</t>
        </is>
      </c>
      <c r="B2" s="28" t="inlineStr">
        <is>
          <t>Budget (₹)</t>
        </is>
      </c>
      <c r="C2" s="28" t="inlineStr">
        <is>
          <t>In lacs</t>
        </is>
      </c>
      <c r="D2" s="28" t="inlineStr">
        <is>
          <t>% of AOP</t>
        </is>
      </c>
    </row>
    <row r="3">
      <c r="A3" s="29" t="inlineStr">
        <is>
          <t>Project Rakshak</t>
        </is>
      </c>
      <c r="B3" s="30">
        <f>'3-Level Bifurcation'!C4</f>
        <v/>
      </c>
      <c r="C3" s="31">
        <f>B3/100000</f>
        <v/>
      </c>
      <c r="D3" s="32">
        <f>B3/$B$10</f>
        <v/>
      </c>
    </row>
    <row r="4">
      <c r="A4" s="33" t="inlineStr">
        <is>
          <t>Hit &amp; Run Compensation</t>
        </is>
      </c>
      <c r="B4" s="34">
        <f>'3-Level Bifurcation'!C23</f>
        <v/>
      </c>
      <c r="C4" s="35">
        <f>B4/100000</f>
        <v/>
      </c>
      <c r="D4" s="36">
        <f>B4/$B$10</f>
        <v/>
      </c>
    </row>
    <row r="5">
      <c r="A5" s="29" t="inlineStr">
        <is>
          <t>Civic &amp; GovTech (SATARK)</t>
        </is>
      </c>
      <c r="B5" s="30">
        <f>'3-Level Bifurcation'!C36</f>
        <v/>
      </c>
      <c r="C5" s="31">
        <f>B5/100000</f>
        <v/>
      </c>
      <c r="D5" s="32">
        <f>B5/$B$10</f>
        <v/>
      </c>
    </row>
    <row r="6">
      <c r="A6" s="33" t="inlineStr">
        <is>
          <t>Marketing Campaign</t>
        </is>
      </c>
      <c r="B6" s="34">
        <f>'3-Level Bifurcation'!C47</f>
        <v/>
      </c>
      <c r="C6" s="35">
        <f>B6/100000</f>
        <v/>
      </c>
      <c r="D6" s="36">
        <f>B6/$B$10</f>
        <v/>
      </c>
    </row>
    <row r="7">
      <c r="A7" s="29" t="inlineStr">
        <is>
          <t>Bets (SSI + Gig Rider)</t>
        </is>
      </c>
      <c r="B7" s="30">
        <f>'3-Level Bifurcation'!C58</f>
        <v/>
      </c>
      <c r="C7" s="31">
        <f>B7/100000</f>
        <v/>
      </c>
      <c r="D7" s="32">
        <f>B7/$B$10</f>
        <v/>
      </c>
    </row>
    <row r="8">
      <c r="A8" s="33" t="inlineStr">
        <is>
          <t>Trust Admin (Org Backbone)</t>
        </is>
      </c>
      <c r="B8" s="34">
        <f>'3-Level Bifurcation'!C65</f>
        <v/>
      </c>
      <c r="C8" s="35">
        <f>B8/100000</f>
        <v/>
      </c>
      <c r="D8" s="36">
        <f>B8/$B$10</f>
        <v/>
      </c>
    </row>
    <row r="9">
      <c r="A9" s="29" t="inlineStr">
        <is>
          <t>Contingency (4%)</t>
        </is>
      </c>
      <c r="B9" s="30">
        <f>'3-Level Bifurcation'!C81</f>
        <v/>
      </c>
      <c r="C9" s="31">
        <f>B9/100000</f>
        <v/>
      </c>
      <c r="D9" s="32">
        <f>B9/$B$10</f>
        <v/>
      </c>
    </row>
    <row r="10">
      <c r="A10" s="37" t="inlineStr">
        <is>
          <t>Grand Total</t>
        </is>
      </c>
      <c r="B10" s="38">
        <f>SUM(B3:B9)</f>
        <v/>
      </c>
      <c r="C10" s="39">
        <f>B10/100000</f>
        <v/>
      </c>
      <c r="D10" s="40">
        <f>B10/$B$10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41" t="inlineStr">
        <is>
          <t>CFI · AOP 2026–27 — 3-level bifurcation · basis &amp; assumptions</t>
        </is>
      </c>
    </row>
    <row r="2">
      <c r="A2" s="42" t="inlineStr"/>
    </row>
    <row r="3">
      <c r="A3" s="43" t="inlineStr">
        <is>
          <t>EXACT (from the board-approved AOP, 'From programmes to institutions'):</t>
        </is>
      </c>
    </row>
    <row r="4">
      <c r="A4" s="44" t="inlineStr">
        <is>
          <t>• The 7 Level-1 verticals and their totals: Rakshak ₹1.85 Cr · Hit &amp; Run ₹0.60 Cr · Civic &amp; GovTech (SATARK) ₹1.00 Cr ·</t>
        </is>
      </c>
    </row>
    <row r="5">
      <c r="A5" s="44" t="inlineStr">
        <is>
          <t xml:space="preserve">   Marketing Campaign ₹0.60 Cr · Bets ₹0.20 Cr · Trust Admin ₹1.51 Cr · Contingency ₹0.24 Cr = ₹6.00 Cr.</t>
        </is>
      </c>
    </row>
    <row r="6">
      <c r="A6" s="44" t="inlineStr">
        <is>
          <t>• Trust Admin's five headers (salaries ₹0.78 Cr, IRSC support ₹0.42 Cr, IT/SaaS/AI ₹0.14 Cr, M&amp;E ₹0.06 Cr,</t>
        </is>
      </c>
    </row>
    <row r="7">
      <c r="A7" s="44" t="inlineStr">
        <is>
          <t xml:space="preserve">   travel/branding/compliance ₹0.11 Cr) are taken verbatim from the org-backbone slide.</t>
        </is>
      </c>
    </row>
    <row r="8">
      <c r="A8" s="42" t="inlineStr"/>
    </row>
    <row r="9">
      <c r="A9" s="45" t="inlineStr">
        <is>
          <t>FIRST-PASS (designed by me to sum exactly to each vertical — edit freely, everything rolls up):</t>
        </is>
      </c>
    </row>
    <row r="10">
      <c r="A10" s="44" t="inlineStr">
        <is>
          <t>• All Level-2 activities and Level-3 cost lines inside the programmes (Rakshak, Hit &amp; Run, SATARK, Campaign, Bets).</t>
        </is>
      </c>
    </row>
    <row r="11">
      <c r="A11" s="44" t="inlineStr">
        <is>
          <t>• The salaries split into core staff (₹42 L) vs SMIF fellowship (₹36 L) within the ₹0.78 Cr salaries line.</t>
        </is>
      </c>
    </row>
    <row r="12">
      <c r="A12" s="44" t="inlineStr">
        <is>
          <t>• The itemisation of the ₹0.14 Cr IT/SaaS/AI tooling line into individual tools.</t>
        </is>
      </c>
    </row>
    <row r="13">
      <c r="A13" s="42" t="inlineStr"/>
    </row>
    <row r="14">
      <c r="A14" s="46" t="inlineStr">
        <is>
          <t>FELLOW COSTS kept visible, as requested (marked ★):</t>
        </is>
      </c>
    </row>
    <row r="15">
      <c r="A15" s="44" t="inlineStr">
        <is>
          <t>• Rakshak — Student team stipends: ₹36,000 per team on completion (~90 institutional sites) [confirmed in Slack].</t>
        </is>
      </c>
    </row>
    <row r="16">
      <c r="A16" s="44" t="inlineStr">
        <is>
          <t>• Hit &amp; Run — Fellow-in-Residence stipend at the Tehsildar office.</t>
        </is>
      </c>
    </row>
    <row r="17">
      <c r="A17" s="44" t="inlineStr">
        <is>
          <t>• Trust Admin — Safer Mobility Impact Fellowship (SMIF) cohort, shown aggregate (~6 fellows across Strategy &amp; Ops,</t>
        </is>
      </c>
    </row>
    <row r="18">
      <c r="A18" s="44" t="inlineStr">
        <is>
          <t xml:space="preserve">   Policy, Research, Cause Marketing tracks). Individual salaries are deliberately NOT itemised (privacy).</t>
        </is>
      </c>
    </row>
    <row r="19">
      <c r="A19" s="42" t="inlineStr"/>
    </row>
    <row r="20">
      <c r="A20" s="46" t="inlineStr">
        <is>
          <t>AI TOOLING category (as requested):</t>
        </is>
      </c>
    </row>
    <row r="21">
      <c r="A21" s="44" t="inlineStr">
        <is>
          <t>• Sits under Trust Admin › IT, SaaS &amp; AI tooling. 'AI tooling' is its own line: Claude Team plan + Codex / AI subscriptions.</t>
        </is>
      </c>
    </row>
    <row r="22">
      <c r="A22" s="44" t="inlineStr">
        <is>
          <t xml:space="preserve">   (Anthropic receipts are recurring monthly and forwarded to finances; a Codex 2–3 seat subscription was requested via Cars24.)</t>
        </is>
      </c>
    </row>
    <row r="23">
      <c r="A23" s="44" t="inlineStr">
        <is>
          <t>• The ₹0.14 Cr split across AI, Workspace, Slack, HRMS and cloud is indicative — adjust to actual run-rate.</t>
        </is>
      </c>
    </row>
    <row r="24">
      <c r="A24" s="42" t="inlineStr"/>
    </row>
    <row r="25">
      <c r="A25" s="47" t="inlineStr">
        <is>
          <t>Sources: finalized AOP deck (v-final, ₹6.00 Cr) · Team Charter / Ownership Map (Aug 2026) · Slack #rakshak-updates,</t>
        </is>
      </c>
    </row>
    <row r="26">
      <c r="A26" s="47" t="inlineStr">
        <is>
          <t>#cfi-core, #builders-cfi · Gmail (Anthropic receipts, SMIF fellowship, Codex request).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2026-08-19T08:57:55Z</dcterms:created>
  <dcterms:modified xmlns:dcterms="http://purl.org/dc/terms/" xmlns:xsi="http://www.w3.org/2001/XMLSchema-instance" xsi:type="dcterms:W3CDTF">2026-08-19T08:57:55Z</dcterms:modified>
</cp:coreProperties>
</file>