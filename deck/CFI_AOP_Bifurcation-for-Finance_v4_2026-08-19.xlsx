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OP Bifurc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'AOP Bifurcation'!$A$1:$G$49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"/>
    <numFmt numFmtId="165" formatCode="0.0%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0.5"/>
    </font>
    <font>
      <name val="Calibri"/>
      <b val="1"/>
      <color rgb="002A2740"/>
      <sz val="9.5"/>
    </font>
    <font>
      <name val="Calibri"/>
      <b val="1"/>
      <color rgb="004A35FF"/>
      <sz val="9.5"/>
    </font>
    <font>
      <name val="Calibri"/>
      <color rgb="001A1C1C"/>
      <sz val="9.5"/>
    </font>
    <font>
      <name val="Calibri"/>
      <color rgb="006B6980"/>
      <sz val="9"/>
    </font>
    <font>
      <name val="Calibri"/>
      <b val="1"/>
      <color rgb="001A1C1C"/>
      <sz val="9.5"/>
    </font>
    <font>
      <name val="Calibri"/>
      <color rgb="001A1C1C"/>
      <sz val="8.5"/>
    </font>
    <font>
      <b val="1"/>
      <color rgb="00FFFFFF"/>
      <sz val="11"/>
    </font>
    <font>
      <b val="1"/>
    </font>
    <font>
      <color rgb="006B6980"/>
      <sz val="9"/>
    </font>
    <font>
      <b val="1"/>
      <color rgb="00FFFFFF"/>
      <sz val="10"/>
    </font>
    <font>
      <b val="1"/>
      <color rgb="00FFFFFF"/>
      <sz val="9.5"/>
    </font>
    <font>
      <sz val="10"/>
    </font>
    <font>
      <b val="1"/>
      <color rgb="004A35FF"/>
      <sz val="10"/>
    </font>
    <font>
      <name val="Calibri"/>
      <b val="1"/>
      <color rgb="004A35FF"/>
      <sz val="13"/>
    </font>
    <font>
      <name val="Calibri"/>
      <color rgb="00FFFFFF"/>
      <sz val="10"/>
    </font>
    <font>
      <name val="Calibri"/>
      <b val="1"/>
      <color rgb="000A9955"/>
      <sz val="11"/>
    </font>
    <font>
      <name val="Calibri"/>
      <color rgb="001A1C1C"/>
      <sz val="10"/>
    </font>
    <font>
      <name val="Calibri"/>
      <b val="1"/>
      <color rgb="00B26A00"/>
      <sz val="11"/>
    </font>
    <font>
      <name val="Calibri"/>
      <b val="1"/>
      <color rgb="004A35FF"/>
      <sz val="11"/>
    </font>
  </fonts>
  <fills count="14">
    <fill>
      <patternFill/>
    </fill>
    <fill>
      <patternFill patternType="gray125"/>
    </fill>
    <fill>
      <patternFill patternType="solid">
        <fgColor rgb="004A35FF"/>
      </patternFill>
    </fill>
    <fill>
      <patternFill patternType="solid">
        <fgColor rgb="00E4EDFB"/>
      </patternFill>
    </fill>
    <fill>
      <patternFill patternType="solid">
        <fgColor rgb="00FFFFFF"/>
      </patternFill>
    </fill>
    <fill>
      <patternFill patternType="solid">
        <fgColor rgb="00F7F8FB"/>
      </patternFill>
    </fill>
    <fill>
      <patternFill patternType="solid">
        <fgColor rgb="00E0F1EF"/>
      </patternFill>
    </fill>
    <fill>
      <patternFill patternType="solid">
        <fgColor rgb="00FBE7EC"/>
      </patternFill>
    </fill>
    <fill>
      <patternFill patternType="solid">
        <fgColor rgb="00F0E7FA"/>
      </patternFill>
    </fill>
    <fill>
      <patternFill patternType="solid">
        <fgColor rgb="00FBEFD8"/>
      </patternFill>
    </fill>
    <fill>
      <patternFill patternType="solid">
        <fgColor rgb="00EAE7FF"/>
      </patternFill>
    </fill>
    <fill>
      <patternFill patternType="solid">
        <fgColor rgb="00E4F4EA"/>
      </patternFill>
    </fill>
    <fill>
      <patternFill patternType="solid">
        <fgColor rgb="00EBECF1"/>
      </patternFill>
    </fill>
    <fill>
      <patternFill patternType="solid">
        <fgColor rgb="001A1C1C"/>
      </patternFill>
    </fill>
  </fills>
  <borders count="2">
    <border>
      <left/>
      <right/>
      <top/>
      <bottom/>
      <diagonal/>
    </border>
    <border>
      <left style="thin">
        <color rgb="00E4E5EE"/>
      </left>
      <right style="thin">
        <color rgb="00E4E5EE"/>
      </right>
      <top style="thin">
        <color rgb="00E4E5EE"/>
      </top>
      <bottom style="thin">
        <color rgb="00E4E5EE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/>
    </xf>
    <xf numFmtId="0" fontId="9" fillId="0" borderId="1" pivotButton="0" quotePrefix="0" xfId="0"/>
    <xf numFmtId="164" fontId="9" fillId="0" borderId="1" applyAlignment="1" pivotButton="0" quotePrefix="0" xfId="0">
      <alignment horizontal="right"/>
    </xf>
    <xf numFmtId="0" fontId="10" fillId="0" borderId="0" pivotButton="0" quotePrefix="0" xfId="0"/>
    <xf numFmtId="0" fontId="11" fillId="13" borderId="0" applyAlignment="1" pivotButton="0" quotePrefix="0" xfId="0">
      <alignment horizontal="left" vertical="center"/>
    </xf>
    <xf numFmtId="0" fontId="12" fillId="13" borderId="1" applyAlignment="1" pivotButton="0" quotePrefix="0" xfId="0">
      <alignment horizontal="left" vertical="center"/>
    </xf>
    <xf numFmtId="0" fontId="12" fillId="13" borderId="1" applyAlignment="1" pivotButton="0" quotePrefix="0" xfId="0">
      <alignment horizontal="right" vertical="center"/>
    </xf>
    <xf numFmtId="0" fontId="13" fillId="3" borderId="1" pivotButton="0" quotePrefix="0" xfId="0"/>
    <xf numFmtId="164" fontId="0" fillId="0" borderId="1" applyAlignment="1" pivotButton="0" quotePrefix="0" xfId="0">
      <alignment horizontal="right"/>
    </xf>
    <xf numFmtId="165" fontId="10" fillId="0" borderId="1" applyAlignment="1" pivotButton="0" quotePrefix="0" xfId="0">
      <alignment horizontal="right"/>
    </xf>
    <xf numFmtId="0" fontId="13" fillId="6" borderId="1" pivotButton="0" quotePrefix="0" xfId="0"/>
    <xf numFmtId="0" fontId="13" fillId="7" borderId="1" pivotButton="0" quotePrefix="0" xfId="0"/>
    <xf numFmtId="0" fontId="13" fillId="8" borderId="1" pivotButton="0" quotePrefix="0" xfId="0"/>
    <xf numFmtId="0" fontId="13" fillId="9" borderId="1" pivotButton="0" quotePrefix="0" xfId="0"/>
    <xf numFmtId="0" fontId="13" fillId="10" borderId="1" pivotButton="0" quotePrefix="0" xfId="0"/>
    <xf numFmtId="0" fontId="13" fillId="11" borderId="1" pivotButton="0" quotePrefix="0" xfId="0"/>
    <xf numFmtId="0" fontId="13" fillId="12" borderId="1" pivotButton="0" quotePrefix="0" xfId="0"/>
    <xf numFmtId="0" fontId="0" fillId="0" borderId="1" pivotButton="0" quotePrefix="0" xfId="0"/>
    <xf numFmtId="0" fontId="14" fillId="0" borderId="1" pivotButton="0" quotePrefix="0" xfId="0"/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5" customWidth="1" min="3" max="3"/>
    <col width="30" customWidth="1" min="4" max="4"/>
    <col width="32" customWidth="1" min="5" max="5"/>
    <col width="14" customWidth="1" min="6" max="6"/>
    <col width="58" customWidth="1" min="7" max="7"/>
  </cols>
  <sheetData>
    <row r="1" ht="38" customHeight="1">
      <c r="A1" s="1" t="inlineStr">
        <is>
          <t>Vertical</t>
        </is>
      </c>
      <c r="B1" s="1" t="inlineStr">
        <is>
          <t>Category (focus area)</t>
        </is>
      </c>
      <c r="C1" s="1" t="inlineStr">
        <is>
          <t>Cost group (high-level)</t>
        </is>
      </c>
      <c r="D1" s="1" t="inlineStr">
        <is>
          <t>Further bifurcation (line item)</t>
        </is>
      </c>
      <c r="E1" s="1" t="inlineStr">
        <is>
          <t>Description</t>
        </is>
      </c>
      <c r="F1" s="1" t="inlineStr">
        <is>
          <t>Budget allocated</t>
        </is>
      </c>
      <c r="G1" s="1" t="inlineStr">
        <is>
          <t>Remarks for Keshav — tagging &amp; finance notes</t>
        </is>
      </c>
    </row>
    <row r="2" ht="32" customHeight="1">
      <c r="A2" s="2" t="inlineStr">
        <is>
          <t>Infrastructure</t>
        </is>
      </c>
      <c r="B2" s="3" t="inlineStr">
        <is>
          <t>Project Rakshak</t>
        </is>
      </c>
      <c r="C2" s="4" t="inlineStr">
        <is>
          <t>Institutional track</t>
        </is>
      </c>
      <c r="D2" s="5" t="inlineStr">
        <is>
          <t>Student team stipends</t>
        </is>
      </c>
      <c r="E2" s="6" t="inlineStr">
        <is>
          <t>₹36,000/team on completion · ~90 sites</t>
        </is>
      </c>
      <c r="F2" s="7" t="n">
        <v>3240000</v>
      </c>
      <c r="G2" s="8" t="inlineStr">
        <is>
          <t>GL: Salary &amp; Incentives (stipends). Milestone-linked — accrue quarterly, release on sign-off. Volume driver = # teams; true-up to actual cohort. Confirm TDS on student stipends with CA. Programme (restricted).</t>
        </is>
      </c>
    </row>
    <row r="3" ht="32" customHeight="1">
      <c r="A3" s="2" t="inlineStr">
        <is>
          <t>Infrastructure</t>
        </is>
      </c>
      <c r="B3" s="9" t="inlineStr">
        <is>
          <t>Project Rakshak</t>
        </is>
      </c>
      <c r="C3" s="10" t="inlineStr">
        <is>
          <t>Institutional track</t>
        </is>
      </c>
      <c r="D3" s="11" t="inlineStr">
        <is>
          <t>Expert mentor honoraria</t>
        </is>
      </c>
      <c r="E3" s="12" t="inlineStr">
        <is>
          <t>Faculty &amp; road-safety expert mentors</t>
        </is>
      </c>
      <c r="F3" s="13" t="n">
        <v>1300000</v>
      </c>
      <c r="G3" s="14" t="inlineStr">
        <is>
          <t>GL: Professional fees. TDS u/s 194J (10%). Per-session/mentor — keep engagement letters.</t>
        </is>
      </c>
    </row>
    <row r="4" ht="32" customHeight="1">
      <c r="A4" s="2" t="inlineStr">
        <is>
          <t>Infrastructure</t>
        </is>
      </c>
      <c r="B4" s="3" t="inlineStr">
        <is>
          <t>Project Rakshak</t>
        </is>
      </c>
      <c r="C4" s="4" t="inlineStr">
        <is>
          <t>Institutional track</t>
        </is>
      </c>
      <c r="D4" s="5" t="inlineStr">
        <is>
          <t>Campus outreach, onboarding &amp; merchandise</t>
        </is>
      </c>
      <c r="E4" s="6" t="inlineStr">
        <is>
          <t>Chapter mobilisation, IDs, kits, ads</t>
        </is>
      </c>
      <c r="F4" s="7" t="n">
        <v>960000</v>
      </c>
      <c r="G4" s="8" t="inlineStr">
        <is>
          <t>GL: Marketing &amp; Branding + Office. Mixed (merch/print + digital ads + travel). Claim GST input where invoiced.</t>
        </is>
      </c>
    </row>
    <row r="5" ht="32" customHeight="1">
      <c r="A5" s="2" t="inlineStr">
        <is>
          <t>Infrastructure</t>
        </is>
      </c>
      <c r="B5" s="9" t="inlineStr">
        <is>
          <t>Project Rakshak</t>
        </is>
      </c>
      <c r="C5" s="10" t="inlineStr">
        <is>
          <t>NGO partner track</t>
        </is>
      </c>
      <c r="D5" s="11" t="inlineStr">
        <is>
          <t>NGO field-team engagement</t>
        </is>
      </c>
      <c r="E5" s="12" t="inlineStr">
        <is>
          <t>~20 sites via NGO partners</t>
        </is>
      </c>
      <c r="F5" s="13" t="n">
        <v>2000000</v>
      </c>
      <c r="G5" s="14" t="inlineStr">
        <is>
          <t>GL: Professional fees / grant-to-partner. Confirm TDS 194C vs grant treatment. Milestone per site. Restricted.</t>
        </is>
      </c>
    </row>
    <row r="6" ht="32" customHeight="1">
      <c r="A6" s="2" t="inlineStr">
        <is>
          <t>Infrastructure</t>
        </is>
      </c>
      <c r="B6" s="3" t="inlineStr">
        <is>
          <t>Project Rakshak</t>
        </is>
      </c>
      <c r="C6" s="4" t="inlineStr">
        <is>
          <t>NGO partner track</t>
        </is>
      </c>
      <c r="D6" s="5" t="inlineStr">
        <is>
          <t>CFI desk + 10–15% physical re-checks</t>
        </is>
      </c>
      <c r="E6" s="6" t="inlineStr">
        <is>
          <t>QA on NGO submissions</t>
        </is>
      </c>
      <c r="F6" s="7" t="n">
        <v>500000</v>
      </c>
      <c r="G6" s="8" t="inlineStr">
        <is>
          <t>GL: Travel + Professional fees. Mostly staff time + travel; book travel to Travel head.</t>
        </is>
      </c>
    </row>
    <row r="7" ht="32" customHeight="1">
      <c r="A7" s="2" t="inlineStr">
        <is>
          <t>Infrastructure</t>
        </is>
      </c>
      <c r="B7" s="9" t="inlineStr">
        <is>
          <t>Project Rakshak</t>
        </is>
      </c>
      <c r="C7" s="10" t="inlineStr">
        <is>
          <t>Certified RSA track</t>
        </is>
      </c>
      <c r="D7" s="11" t="inlineStr">
        <is>
          <t>CRRI-certified auditor fees (IRC SP:88)</t>
        </is>
      </c>
      <c r="E7" s="12" t="inlineStr">
        <is>
          <t>~40 sites, NHAI-usable audits</t>
        </is>
      </c>
      <c r="F7" s="13" t="n">
        <v>4500000</v>
      </c>
      <c r="G7" s="14" t="inlineStr">
        <is>
          <t>GL: Professional fees. Largest single vendor line. TDS 194J + GST input. Milestone/per-audit — keep PO + deliverable.</t>
        </is>
      </c>
    </row>
    <row r="8" ht="32" customHeight="1">
      <c r="A8" s="2" t="inlineStr">
        <is>
          <t>Infrastructure</t>
        </is>
      </c>
      <c r="B8" s="3" t="inlineStr">
        <is>
          <t>Project Rakshak</t>
        </is>
      </c>
      <c r="C8" s="4" t="inlineStr">
        <is>
          <t>Expert Consortium &amp; Audit Manual</t>
        </is>
      </c>
      <c r="D8" s="5" t="inlineStr">
        <is>
          <t>Expert Consortium (4 meetings)</t>
        </is>
      </c>
      <c r="E8" s="6" t="inlineStr">
        <is>
          <t>Sep / Dec / Mar / Jun sittings</t>
        </is>
      </c>
      <c r="F8" s="7" t="n">
        <v>1000000</v>
      </c>
      <c r="G8" s="8" t="inlineStr">
        <is>
          <t>GL: Professional fees (194J) + Travel + venue. Accrue per meeting.</t>
        </is>
      </c>
    </row>
    <row r="9" ht="32" customHeight="1">
      <c r="A9" s="2" t="inlineStr">
        <is>
          <t>Infrastructure</t>
        </is>
      </c>
      <c r="B9" s="9" t="inlineStr">
        <is>
          <t>Project Rakshak</t>
        </is>
      </c>
      <c r="C9" s="10" t="inlineStr">
        <is>
          <t>Expert Consortium &amp; Audit Manual</t>
        </is>
      </c>
      <c r="D9" s="11" t="inlineStr">
        <is>
          <t>Audit Manual v1.0 production</t>
        </is>
      </c>
      <c r="E9" s="12" t="inlineStr">
        <is>
          <t>Authoring, design, print</t>
        </is>
      </c>
      <c r="F9" s="13" t="n">
        <v>800000</v>
      </c>
      <c r="G9" s="14" t="inlineStr">
        <is>
          <t>GL: Professional fees + print. Programme opex; GST input on print. Mostly one-time.</t>
        </is>
      </c>
    </row>
    <row r="10" ht="32" customHeight="1">
      <c r="A10" s="15" t="inlineStr">
        <is>
          <t>Technology</t>
        </is>
      </c>
      <c r="B10" s="3" t="inlineStr">
        <is>
          <t>Project Rakshak</t>
        </is>
      </c>
      <c r="C10" s="4" t="inlineStr">
        <is>
          <t>Public dashboard</t>
        </is>
      </c>
      <c r="D10" s="5" t="inlineStr">
        <is>
          <t>Public accountability dashboard</t>
        </is>
      </c>
      <c r="E10" s="6" t="inlineStr">
        <is>
          <t>Build + hosting; identification→implementation tracker</t>
        </is>
      </c>
      <c r="F10" s="7" t="n">
        <v>1200000</v>
      </c>
      <c r="G10" s="8" t="inlineStr">
        <is>
          <t>GL: Tech Infra. Split build (one-time) vs hosting (recurring). If in-house, it is staff time — confirm vendor vs internal.</t>
        </is>
      </c>
    </row>
    <row r="11" ht="32" customHeight="1">
      <c r="A11" s="2" t="inlineStr">
        <is>
          <t>Infrastructure</t>
        </is>
      </c>
      <c r="B11" s="9" t="inlineStr">
        <is>
          <t>Project Rakshak</t>
        </is>
      </c>
      <c r="C11" s="10" t="inlineStr">
        <is>
          <t>Programme management &amp; field ops</t>
        </is>
      </c>
      <c r="D11" s="11" t="inlineStr">
        <is>
          <t>Programme management (staff allocation)</t>
        </is>
      </c>
      <c r="E11" s="12" t="inlineStr">
        <is>
          <t>PM + coordination time on Rakshak</t>
        </is>
      </c>
      <c r="F11" s="13" t="n">
        <v>1800000</v>
      </c>
      <c r="G11" s="14" t="inlineStr">
        <is>
          <t>GL: Salary &amp; Incentives — ALLOCATION, not a new payout. Ensure NOT double-counted in Trust Admin salaries.</t>
        </is>
      </c>
    </row>
    <row r="12" ht="32" customHeight="1">
      <c r="A12" s="2" t="inlineStr">
        <is>
          <t>Infrastructure</t>
        </is>
      </c>
      <c r="B12" s="3" t="inlineStr">
        <is>
          <t>Project Rakshak</t>
        </is>
      </c>
      <c r="C12" s="4" t="inlineStr">
        <is>
          <t>Programme management &amp; field ops</t>
        </is>
      </c>
      <c r="D12" s="5" t="inlineStr">
        <is>
          <t>Field travel &amp; logistics</t>
        </is>
      </c>
      <c r="E12" s="6" t="inlineStr">
        <is>
          <t>Site visits, DRSC meetings</t>
        </is>
      </c>
      <c r="F12" s="7" t="n">
        <v>700000</v>
      </c>
      <c r="G12" s="8" t="inlineStr">
        <is>
          <t>GL: Travel. Reimbursements, no TDS.</t>
        </is>
      </c>
    </row>
    <row r="13" ht="32" customHeight="1">
      <c r="A13" s="2" t="inlineStr">
        <is>
          <t>Infrastructure</t>
        </is>
      </c>
      <c r="B13" s="9" t="inlineStr">
        <is>
          <t>Project Rakshak</t>
        </is>
      </c>
      <c r="C13" s="10" t="inlineStr">
        <is>
          <t>Programme management &amp; field ops</t>
        </is>
      </c>
      <c r="D13" s="11" t="inlineStr">
        <is>
          <t>National forum &amp; DRSC presentations</t>
        </is>
      </c>
      <c r="E13" s="12" t="inlineStr">
        <is>
          <t>12+ DRSC presentations, year-end forum</t>
        </is>
      </c>
      <c r="F13" s="13" t="n">
        <v>500000</v>
      </c>
      <c r="G13" s="14" t="inlineStr">
        <is>
          <t>GL: Events + Travel. Venue &amp; logistics — GST input on vendor invoices.</t>
        </is>
      </c>
    </row>
    <row r="14" ht="32" customHeight="1">
      <c r="A14" s="16" t="inlineStr">
        <is>
          <t>Post-emergency care</t>
        </is>
      </c>
      <c r="B14" s="3" t="inlineStr">
        <is>
          <t>Hit &amp; Run Compensation</t>
        </is>
      </c>
      <c r="C14" s="4" t="inlineStr">
        <is>
          <t>Scheme audit &amp; documentation</t>
        </is>
      </c>
      <c r="D14" s="5" t="inlineStr">
        <is>
          <t>Stage-wise pipeline audit fieldwork (Gurugram)</t>
        </is>
      </c>
      <c r="E14" s="6" t="inlineStr">
        <is>
          <t>FIR→GI Council; 20–30 claims tracked</t>
        </is>
      </c>
      <c r="F14" s="7" t="n">
        <v>1200000</v>
      </c>
      <c r="G14" s="8" t="inlineStr">
        <is>
          <t>GL: Professional fees + Travel. Field researchers/surveyors — TDS 194C/194J. Restricted programme.</t>
        </is>
      </c>
    </row>
    <row r="15" ht="32" customHeight="1">
      <c r="A15" s="17" t="inlineStr">
        <is>
          <t>Policy</t>
        </is>
      </c>
      <c r="B15" s="9" t="inlineStr">
        <is>
          <t>Hit &amp; Run Compensation</t>
        </is>
      </c>
      <c r="C15" s="10" t="inlineStr">
        <is>
          <t>Scheme audit &amp; documentation</t>
        </is>
      </c>
      <c r="D15" s="11" t="inlineStr">
        <is>
          <t>'Where the Pipeline Breaks' report</t>
        </is>
      </c>
      <c r="E15" s="12" t="inlineStr">
        <is>
          <t>Scheme audit submitted to MoRTH</t>
        </is>
      </c>
      <c r="F15" s="13" t="n">
        <v>600000</v>
      </c>
      <c r="G15" s="14" t="inlineStr">
        <is>
          <t>GL: Professional fees + print. Writing/design + printing. GST input.</t>
        </is>
      </c>
    </row>
    <row r="16" ht="32" customHeight="1">
      <c r="A16" s="16" t="inlineStr">
        <is>
          <t>Post-emergency care</t>
        </is>
      </c>
      <c r="B16" s="3" t="inlineStr">
        <is>
          <t>Hit &amp; Run Compensation</t>
        </is>
      </c>
      <c r="C16" s="4" t="inlineStr">
        <is>
          <t>Institutional capacity building</t>
        </is>
      </c>
      <c r="D16" s="5" t="inlineStr">
        <is>
          <t>Fellow-in-Residence stipend (Tehsildar office)</t>
        </is>
      </c>
      <c r="E16" s="6" t="inlineStr">
        <is>
          <t>Embedded fellow</t>
        </is>
      </c>
      <c r="F16" s="7" t="n">
        <v>1200000</v>
      </c>
      <c r="G16" s="8" t="inlineStr">
        <is>
          <t>GL: Salary &amp; Incentives (fellowship). On HRMS retainer — recurring monthly, TDS on salary. Tag to Hit &amp; Run.</t>
        </is>
      </c>
    </row>
    <row r="17" ht="32" customHeight="1">
      <c r="A17" s="16" t="inlineStr">
        <is>
          <t>Post-emergency care</t>
        </is>
      </c>
      <c r="B17" s="9" t="inlineStr">
        <is>
          <t>Hit &amp; Run Compensation</t>
        </is>
      </c>
      <c r="C17" s="10" t="inlineStr">
        <is>
          <t>Institutional capacity building</t>
        </is>
      </c>
      <c r="D17" s="11" t="inlineStr">
        <is>
          <t>SOP reference cards &amp; training-gap assessment</t>
        </is>
      </c>
      <c r="E17" s="12" t="inlineStr">
        <is>
          <t>District capacity</t>
        </is>
      </c>
      <c r="F17" s="13" t="n">
        <v>800000</v>
      </c>
      <c r="G17" s="14" t="inlineStr">
        <is>
          <t>GL: Professional fees + print. Consultant + printing. Mostly one-time.</t>
        </is>
      </c>
    </row>
    <row r="18" ht="32" customHeight="1">
      <c r="A18" s="16" t="inlineStr">
        <is>
          <t>Post-emergency care</t>
        </is>
      </c>
      <c r="B18" s="3" t="inlineStr">
        <is>
          <t>Hit &amp; Run Compensation</t>
        </is>
      </c>
      <c r="C18" s="4" t="inlineStr">
        <is>
          <t>Victim identification &amp; AASHA</t>
        </is>
      </c>
      <c r="D18" s="5" t="inlineStr">
        <is>
          <t>DLSA-partnered helpdesks</t>
        </is>
      </c>
      <c r="E18" s="6" t="inlineStr">
        <is>
          <t>Trauma-ward legal helpdesks</t>
        </is>
      </c>
      <c r="F18" s="7" t="n">
        <v>800000</v>
      </c>
      <c r="G18" s="8" t="inlineStr">
        <is>
          <t>GL: Professional fees / grant + Office. Confirm DLSA MoU terms.</t>
        </is>
      </c>
    </row>
    <row r="19" ht="32" customHeight="1">
      <c r="A19" s="16" t="inlineStr">
        <is>
          <t>Post-emergency care</t>
        </is>
      </c>
      <c r="B19" s="9" t="inlineStr">
        <is>
          <t>Hit &amp; Run Compensation</t>
        </is>
      </c>
      <c r="C19" s="10" t="inlineStr">
        <is>
          <t>Victim identification &amp; AASHA</t>
        </is>
      </c>
      <c r="D19" s="11" t="inlineStr">
        <is>
          <t>AASHA QR deployment</t>
        </is>
      </c>
      <c r="E19" s="12" t="inlineStr">
        <is>
          <t>Police stations &amp; trauma centres</t>
        </is>
      </c>
      <c r="F19" s="13" t="n">
        <v>600000</v>
      </c>
      <c r="G19" s="14" t="inlineStr">
        <is>
          <t>GL: Tech Infra + Marketing. QR standees/print + app hosting.</t>
        </is>
      </c>
    </row>
    <row r="20" ht="32" customHeight="1">
      <c r="A20" s="17" t="inlineStr">
        <is>
          <t>Policy</t>
        </is>
      </c>
      <c r="B20" s="3" t="inlineStr">
        <is>
          <t>Hit &amp; Run Compensation</t>
        </is>
      </c>
      <c r="C20" s="4" t="inlineStr">
        <is>
          <t>Policy audit &amp; advocacy</t>
        </is>
      </c>
      <c r="D20" s="5" t="inlineStr">
        <is>
          <t>Quarterly findings &amp; public brief</t>
        </is>
      </c>
      <c r="E20" s="6" t="inlineStr">
        <is>
          <t>Publishing cadence</t>
        </is>
      </c>
      <c r="F20" s="7" t="n">
        <v>500000</v>
      </c>
      <c r="G20" s="8" t="inlineStr">
        <is>
          <t>GL: Professional fees + Marketing. Recurring quarterly — accrue per quarter.</t>
        </is>
      </c>
    </row>
    <row r="21" ht="32" customHeight="1">
      <c r="A21" s="17" t="inlineStr">
        <is>
          <t>Policy</t>
        </is>
      </c>
      <c r="B21" s="9" t="inlineStr">
        <is>
          <t>Hit &amp; Run Compensation</t>
        </is>
      </c>
      <c r="C21" s="10" t="inlineStr">
        <is>
          <t>Policy audit &amp; advocacy</t>
        </is>
      </c>
      <c r="D21" s="11" t="inlineStr">
        <is>
          <t>Advocacy &amp; MoRTH engagement travel</t>
        </is>
      </c>
      <c r="E21" s="12" t="inlineStr">
        <is>
          <t>Stakeholder engagement</t>
        </is>
      </c>
      <c r="F21" s="13" t="n">
        <v>300000</v>
      </c>
      <c r="G21" s="14" t="inlineStr">
        <is>
          <t>GL: Travel. Reimbursements, no TDS.</t>
        </is>
      </c>
    </row>
    <row r="22" ht="32" customHeight="1">
      <c r="A22" s="15" t="inlineStr">
        <is>
          <t>Technology</t>
        </is>
      </c>
      <c r="B22" s="3" t="inlineStr">
        <is>
          <t>Civic &amp; GovTech (SATARK)</t>
        </is>
      </c>
      <c r="C22" s="4" t="inlineStr">
        <is>
          <t>SATARK platform &amp; scale-up</t>
        </is>
      </c>
      <c r="D22" s="5" t="inlineStr">
        <is>
          <t>SATARK engineering &amp; product</t>
        </is>
      </c>
      <c r="E22" s="6" t="inlineStr">
        <is>
          <t>ANPR, ULIP, rule engine, officer app</t>
        </is>
      </c>
      <c r="F22" s="7" t="n">
        <v>2500000</v>
      </c>
      <c r="G22" s="8" t="inlineStr">
        <is>
          <t>GL: Tech Infra / Professional fees. In-house devs = salary cross-charge (avoid double count); vendor = 194J + GST. Confirm capex vs opex.</t>
        </is>
      </c>
    </row>
    <row r="23" ht="32" customHeight="1">
      <c r="A23" s="15" t="inlineStr">
        <is>
          <t>Technology</t>
        </is>
      </c>
      <c r="B23" s="9" t="inlineStr">
        <is>
          <t>Civic &amp; GovTech (SATARK)</t>
        </is>
      </c>
      <c r="C23" s="10" t="inlineStr">
        <is>
          <t>SATARK platform &amp; scale-up</t>
        </is>
      </c>
      <c r="D23" s="11" t="inlineStr">
        <is>
          <t>City deployment &amp; rollout</t>
        </is>
      </c>
      <c r="E23" s="12" t="inlineStr">
        <is>
          <t>Toward 30 cities · Gurugram, Pune, Ahmedabad first</t>
        </is>
      </c>
      <c r="F23" s="13" t="n">
        <v>2000000</v>
      </c>
      <c r="G23" s="14" t="inlineStr">
        <is>
          <t>GL: Professional fees + Travel + Tech. Volume driver = # cities; milestone per go-live.</t>
        </is>
      </c>
    </row>
    <row r="24" ht="32" customHeight="1">
      <c r="A24" s="15" t="inlineStr">
        <is>
          <t>Technology</t>
        </is>
      </c>
      <c r="B24" s="3" t="inlineStr">
        <is>
          <t>Civic &amp; GovTech (SATARK)</t>
        </is>
      </c>
      <c r="C24" s="4" t="inlineStr">
        <is>
          <t>SATARK platform &amp; scale-up</t>
        </is>
      </c>
      <c r="D24" s="5" t="inlineStr">
        <is>
          <t>Cloud, ANPR &amp; ULIP integration</t>
        </is>
      </c>
      <c r="E24" s="6" t="inlineStr">
        <is>
          <t>Compute, APIs, cameras</t>
        </is>
      </c>
      <c r="F24" s="7" t="n">
        <v>1500000</v>
      </c>
      <c r="G24" s="8" t="inlineStr">
        <is>
          <t>GL: Tech Infra. Recurring cloud — reconcile monthly to usage. Foreign SaaS → GST under RCM; watch forex.</t>
        </is>
      </c>
    </row>
    <row r="25" ht="32" customHeight="1">
      <c r="A25" s="15" t="inlineStr">
        <is>
          <t>Technology</t>
        </is>
      </c>
      <c r="B25" s="9" t="inlineStr">
        <is>
          <t>Civic &amp; GovTech (SATARK)</t>
        </is>
      </c>
      <c r="C25" s="10" t="inlineStr">
        <is>
          <t>Open data stack</t>
        </is>
      </c>
      <c r="D25" s="11" t="inlineStr">
        <is>
          <t>Open data product maintenance &amp; hosting</t>
        </is>
      </c>
      <c r="E25" s="12" t="inlineStr">
        <is>
          <t>Defect Repo, Parliament, SC Tracker, Crash Dashboard</t>
        </is>
      </c>
      <c r="F25" s="13" t="n">
        <v>1500000</v>
      </c>
      <c r="G25" s="14" t="inlineStr">
        <is>
          <t>GL: Tech Infra. Recurring hosting for 4 products — monthly.</t>
        </is>
      </c>
    </row>
    <row r="26" ht="32" customHeight="1">
      <c r="A26" s="15" t="inlineStr">
        <is>
          <t>Technology</t>
        </is>
      </c>
      <c r="B26" s="3" t="inlineStr">
        <is>
          <t>Civic &amp; GovTech (SATARK)</t>
        </is>
      </c>
      <c r="C26" s="4" t="inlineStr">
        <is>
          <t>Open data stack</t>
        </is>
      </c>
      <c r="D26" s="5" t="inlineStr">
        <is>
          <t>Data engineering &amp; updates</t>
        </is>
      </c>
      <c r="E26" s="6" t="inlineStr">
        <is>
          <t>Daily/weekly refresh, 146 districts</t>
        </is>
      </c>
      <c r="F26" s="7" t="n">
        <v>1000000</v>
      </c>
      <c r="G26" s="8" t="inlineStr">
        <is>
          <t>GL: Salary / Professional fees. Cross-charge if internal; vendor = 194J.</t>
        </is>
      </c>
    </row>
    <row r="27" ht="32" customHeight="1">
      <c r="A27" s="15" t="inlineStr">
        <is>
          <t>Technology</t>
        </is>
      </c>
      <c r="B27" s="9" t="inlineStr">
        <is>
          <t>Civic &amp; GovTech (SATARK)</t>
        </is>
      </c>
      <c r="C27" s="10" t="inlineStr">
        <is>
          <t>GovTech exploration</t>
        </is>
      </c>
      <c r="D27" s="11" t="inlineStr">
        <is>
          <t>GovTech scoping &amp; partnerships</t>
        </is>
      </c>
      <c r="E27" s="12" t="inlineStr">
        <is>
          <t>2+ new DPG opportunities</t>
        </is>
      </c>
      <c r="F27" s="13" t="n">
        <v>1000000</v>
      </c>
      <c r="G27" s="14" t="inlineStr">
        <is>
          <t>GL: Professional fees + Travel. Exploratory — keep unspent visible; do not front-load.</t>
        </is>
      </c>
    </row>
    <row r="28" ht="32" customHeight="1">
      <c r="A28" s="15" t="inlineStr">
        <is>
          <t>Technology</t>
        </is>
      </c>
      <c r="B28" s="3" t="inlineStr">
        <is>
          <t>Civic &amp; GovTech (SATARK)</t>
        </is>
      </c>
      <c r="C28" s="4" t="inlineStr">
        <is>
          <t>GovTech exploration</t>
        </is>
      </c>
      <c r="D28" s="5" t="inlineStr">
        <is>
          <t>Pilot / DPG prototyping</t>
        </is>
      </c>
      <c r="E28" s="6" t="inlineStr">
        <is>
          <t>ULIP / MoRTH ecosystem</t>
        </is>
      </c>
      <c r="F28" s="7" t="n">
        <v>500000</v>
      </c>
      <c r="G28" s="8" t="inlineStr">
        <is>
          <t>GL: Tech Infra. Small pilots — release against scoped need.</t>
        </is>
      </c>
    </row>
    <row r="29" ht="32" customHeight="1">
      <c r="A29" s="18" t="inlineStr">
        <is>
          <t>Education</t>
        </is>
      </c>
      <c r="B29" s="9" t="inlineStr">
        <is>
          <t>Marketing Campaign</t>
        </is>
      </c>
      <c r="C29" s="10" t="inlineStr">
        <is>
          <t>Media advocacy</t>
        </is>
      </c>
      <c r="D29" s="11" t="inlineStr">
        <is>
          <t>Editorial partnerships, radio &amp; podcast, PSA</t>
        </is>
      </c>
      <c r="E29" s="12" t="inlineStr">
        <is>
          <t>Earned + owned media</t>
        </is>
      </c>
      <c r="F29" s="13" t="n">
        <v>1500000</v>
      </c>
      <c r="G29" s="14" t="inlineStr">
        <is>
          <t>GL: Marketing &amp; Branding. Agency/media invoices — TDS 194C/194J + GST input.</t>
        </is>
      </c>
    </row>
    <row r="30" ht="32" customHeight="1">
      <c r="A30" s="18" t="inlineStr">
        <is>
          <t>Education</t>
        </is>
      </c>
      <c r="B30" s="3" t="inlineStr">
        <is>
          <t>Marketing Campaign</t>
        </is>
      </c>
      <c r="C30" s="4" t="inlineStr">
        <is>
          <t>Digital advocacy</t>
        </is>
      </c>
      <c r="D30" s="5" t="inlineStr">
        <is>
          <t>50 micro-influencers &amp; branded short films</t>
        </is>
      </c>
      <c r="E30" s="6" t="inlineStr">
        <is>
          <t>#SafeSwag creator programme</t>
        </is>
      </c>
      <c r="F30" s="7" t="n">
        <v>1400000</v>
      </c>
      <c r="G30" s="8" t="inlineStr">
        <is>
          <t>GL: Marketing &amp; Branding. Influencer payouts — 194C/194J; keep contracts. Track CAC (see Aug ads learning).</t>
        </is>
      </c>
    </row>
    <row r="31" ht="32" customHeight="1">
      <c r="A31" s="18" t="inlineStr">
        <is>
          <t>Education</t>
        </is>
      </c>
      <c r="B31" s="9" t="inlineStr">
        <is>
          <t>Marketing Campaign</t>
        </is>
      </c>
      <c r="C31" s="10" t="inlineStr">
        <is>
          <t>Digital advocacy</t>
        </is>
      </c>
      <c r="D31" s="11" t="inlineStr">
        <is>
          <t>Digital IP &amp; content production</t>
        </is>
      </c>
      <c r="E31" s="12" t="inlineStr">
        <is>
          <t>Short films, reels</t>
        </is>
      </c>
      <c r="F31" s="13" t="n">
        <v>600000</v>
      </c>
      <c r="G31" s="14" t="inlineStr">
        <is>
          <t>GL: Marketing &amp; Branding. Production vendor + GST input.</t>
        </is>
      </c>
    </row>
    <row r="32" ht="32" customHeight="1">
      <c r="A32" s="18" t="inlineStr">
        <is>
          <t>Education</t>
        </is>
      </c>
      <c r="B32" s="3" t="inlineStr">
        <is>
          <t>Marketing Campaign</t>
        </is>
      </c>
      <c r="C32" s="4" t="inlineStr">
        <is>
          <t>Offline awareness</t>
        </is>
      </c>
      <c r="D32" s="5" t="inlineStr">
        <is>
          <t>OOH in 3–4 cities</t>
        </is>
      </c>
      <c r="E32" s="6" t="inlineStr">
        <is>
          <t>Billboards, transit</t>
        </is>
      </c>
      <c r="F32" s="7" t="n">
        <v>1000000</v>
      </c>
      <c r="G32" s="8" t="inlineStr">
        <is>
          <t>GL: Marketing &amp; Branding. OOH media buy — 194C + GST input.</t>
        </is>
      </c>
    </row>
    <row r="33" ht="32" customHeight="1">
      <c r="A33" s="18" t="inlineStr">
        <is>
          <t>Education</t>
        </is>
      </c>
      <c r="B33" s="9" t="inlineStr">
        <is>
          <t>Marketing Campaign</t>
        </is>
      </c>
      <c r="C33" s="10" t="inlineStr">
        <is>
          <t>Offline awareness</t>
        </is>
      </c>
      <c r="D33" s="11" t="inlineStr">
        <is>
          <t>Guerilla installations &amp; event co-branding</t>
        </is>
      </c>
      <c r="E33" s="12" t="inlineStr"/>
      <c r="F33" s="13" t="n">
        <v>500000</v>
      </c>
      <c r="G33" s="14" t="inlineStr">
        <is>
          <t>GL: Marketing &amp; Branding / Events.</t>
        </is>
      </c>
    </row>
    <row r="34" ht="32" customHeight="1">
      <c r="A34" s="18" t="inlineStr">
        <is>
          <t>Education</t>
        </is>
      </c>
      <c r="B34" s="3" t="inlineStr">
        <is>
          <t>Marketing Campaign</t>
        </is>
      </c>
      <c r="C34" s="4" t="inlineStr">
        <is>
          <t>Community mobilization</t>
        </is>
      </c>
      <c r="D34" s="5" t="inlineStr">
        <is>
          <t>College competitions &amp; app-based engagement</t>
        </is>
      </c>
      <c r="E34" s="6" t="inlineStr">
        <is>
          <t>Real-life stories</t>
        </is>
      </c>
      <c r="F34" s="7" t="n">
        <v>1000000</v>
      </c>
      <c r="G34" s="8" t="inlineStr">
        <is>
          <t>GL: Marketing + Office. Keep winner records for prize payouts.</t>
        </is>
      </c>
    </row>
    <row r="35" ht="32" customHeight="1">
      <c r="A35" s="2" t="inlineStr">
        <is>
          <t>Infrastructure</t>
        </is>
      </c>
      <c r="B35" s="9" t="inlineStr">
        <is>
          <t>Bets — School Safety Index</t>
        </is>
      </c>
      <c r="C35" s="10" t="inlineStr">
        <is>
          <t>School Safety Index (seed)</t>
        </is>
      </c>
      <c r="D35" s="11" t="inlineStr">
        <is>
          <t>IRC:SP:32 rubric validation &amp; Zone Captain pilot</t>
        </is>
      </c>
      <c r="E35" s="12" t="inlineStr">
        <is>
          <t>~100 school zones in one city</t>
        </is>
      </c>
      <c r="F35" s="13" t="n">
        <v>700000</v>
      </c>
      <c r="G35" s="14" t="inlineStr">
        <is>
          <t>GL: Professional fees + Travel. SEED — release ONLY against board-approved design (stage gate). Ring-fence at ₹0.10 Cr.</t>
        </is>
      </c>
    </row>
    <row r="36" ht="32" customHeight="1">
      <c r="A36" s="2" t="inlineStr">
        <is>
          <t>Infrastructure</t>
        </is>
      </c>
      <c r="B36" s="3" t="inlineStr">
        <is>
          <t>Bets — School Safety Index</t>
        </is>
      </c>
      <c r="C36" s="4" t="inlineStr">
        <is>
          <t>School Safety Index (seed)</t>
        </is>
      </c>
      <c r="D36" s="5" t="inlineStr">
        <is>
          <t>Per-school costing &amp; board-ready design</t>
        </is>
      </c>
      <c r="E36" s="6" t="inlineStr">
        <is>
          <t>Gate to Year-3 funded index</t>
        </is>
      </c>
      <c r="F36" s="7" t="n">
        <v>300000</v>
      </c>
      <c r="G36" s="8" t="inlineStr">
        <is>
          <t>GL: Professional fees. SEED. Deliverable = board paper.</t>
        </is>
      </c>
    </row>
    <row r="37" ht="32" customHeight="1">
      <c r="A37" s="17" t="inlineStr">
        <is>
          <t>Policy</t>
        </is>
      </c>
      <c r="B37" s="9" t="inlineStr">
        <is>
          <t>Bets — Gig Rider</t>
        </is>
      </c>
      <c r="C37" s="10" t="inlineStr">
        <is>
          <t>Gig Rider (seed)</t>
        </is>
      </c>
      <c r="D37" s="11" t="inlineStr">
        <is>
          <t>Gig crash-data scoping study</t>
        </is>
      </c>
      <c r="E37" s="12" t="inlineStr">
        <is>
          <t>National study parked till model proven</t>
        </is>
      </c>
      <c r="F37" s="13" t="n">
        <v>600000</v>
      </c>
      <c r="G37" s="14" t="inlineStr">
        <is>
          <t>GL: Professional fees. SEED — researcher fees 194J. Ring-fence at ₹0.10 Cr.</t>
        </is>
      </c>
    </row>
    <row r="38" ht="32" customHeight="1">
      <c r="A38" s="17" t="inlineStr">
        <is>
          <t>Policy</t>
        </is>
      </c>
      <c r="B38" s="3" t="inlineStr">
        <is>
          <t>Bets — Gig Rider</t>
        </is>
      </c>
      <c r="C38" s="4" t="inlineStr">
        <is>
          <t>Gig Rider (seed)</t>
        </is>
      </c>
      <c r="D38" s="5" t="inlineStr">
        <is>
          <t>Platform + OMI Foundation engagements</t>
        </is>
      </c>
      <c r="E38" s="6" t="inlineStr">
        <is>
          <t>3+ platforms at the table</t>
        </is>
      </c>
      <c r="F38" s="7" t="n">
        <v>400000</v>
      </c>
      <c r="G38" s="8" t="inlineStr">
        <is>
          <t>GL: Travel + Professional fees. SEED. Relationship-building.</t>
        </is>
      </c>
    </row>
    <row r="39" ht="32" customHeight="1">
      <c r="A39" s="19" t="inlineStr">
        <is>
          <t>Trust Admin</t>
        </is>
      </c>
      <c r="B39" s="9" t="inlineStr">
        <is>
          <t>Org Backbone</t>
        </is>
      </c>
      <c r="C39" s="10" t="inlineStr">
        <is>
          <t>Core team salaries</t>
        </is>
      </c>
      <c r="D39" s="11" t="inlineStr">
        <is>
          <t>Core team salaries &amp; benefits</t>
        </is>
      </c>
      <c r="E39" s="12" t="inlineStr">
        <is>
          <t>Aggregate core staff (individual figures withheld)</t>
        </is>
      </c>
      <c r="F39" s="13" t="n">
        <v>4200000</v>
      </c>
      <c r="G39" s="14" t="inlineStr">
        <is>
          <t>GL: Salary &amp; Incentives. Core/shared payroll ONLY (not cross-charged to programmes). Ensure programme staff-allocations are NOT double-counted. Monthly; TDS 192, PF/ESI.</t>
        </is>
      </c>
    </row>
    <row r="40" ht="32" customHeight="1">
      <c r="A40" s="20" t="inlineStr">
        <is>
          <t>Enabler</t>
        </is>
      </c>
      <c r="B40" s="3" t="inlineStr">
        <is>
          <t>Org Backbone</t>
        </is>
      </c>
      <c r="C40" s="4" t="inlineStr">
        <is>
          <t>Fellowship (SMIF)</t>
        </is>
      </c>
      <c r="D40" s="5" t="inlineStr">
        <is>
          <t>Safer Mobility Impact Fellowship</t>
        </is>
      </c>
      <c r="E40" s="6" t="inlineStr">
        <is>
          <t>~6 fellows across tracks (aggregate)</t>
        </is>
      </c>
      <c r="F40" s="7" t="n">
        <v>3600000</v>
      </c>
      <c r="G40" s="8" t="inlineStr">
        <is>
          <t>GL: Salary &amp; Incentives (fellowship). HRMS fixed-term agreements. Recurring monthly. Individual amounts confidential. If a fellow is dedicated to a programme, consider cross-charging it.</t>
        </is>
      </c>
    </row>
    <row r="41" ht="32" customHeight="1">
      <c r="A41" s="19" t="inlineStr">
        <is>
          <t>Trust Admin</t>
        </is>
      </c>
      <c r="B41" s="9" t="inlineStr">
        <is>
          <t>Org Backbone</t>
        </is>
      </c>
      <c r="C41" s="10" t="inlineStr">
        <is>
          <t>IRSC institutional support</t>
        </is>
      </c>
      <c r="D41" s="11" t="inlineStr">
        <is>
          <t>IRSC institutional support &amp; expert consultation</t>
        </is>
      </c>
      <c r="E41" s="12" t="inlineStr">
        <is>
          <t>Shared expert/leadership</t>
        </is>
      </c>
      <c r="F41" s="13" t="n">
        <v>4200000</v>
      </c>
      <c r="G41" s="14" t="inlineStr">
        <is>
          <t>GL: Professional fees. TDS 194J + GST. IRSC is a related party — confirm inter-entity treatment; keep MoU.</t>
        </is>
      </c>
    </row>
    <row r="42" ht="32" customHeight="1">
      <c r="A42" s="15" t="inlineStr">
        <is>
          <t>Technology</t>
        </is>
      </c>
      <c r="B42" s="3" t="inlineStr">
        <is>
          <t>Org Backbone</t>
        </is>
      </c>
      <c r="C42" s="4" t="inlineStr">
        <is>
          <t>IT, SaaS &amp; AI tooling</t>
        </is>
      </c>
      <c r="D42" s="5" t="inlineStr">
        <is>
          <t>AI tooling — Claude (Team) + Codex / AI subscriptions</t>
        </is>
      </c>
      <c r="E42" s="6" t="inlineStr">
        <is>
          <t>AI assistants for build/research/ops</t>
        </is>
      </c>
      <c r="F42" s="7" t="n">
        <v>600000</v>
      </c>
      <c r="G42" s="8" t="inlineStr">
        <is>
          <t>GL: Tech Infra (software subscriptions). ← dedicated AI-tooling line. Recurring monthly, mostly USD (Anthropic/OpenAI) — GST under RCM on import of service (pay &amp; claim) + forex/card fees. Receipts already reaching finance.</t>
        </is>
      </c>
    </row>
    <row r="43" ht="32" customHeight="1">
      <c r="A43" s="15" t="inlineStr">
        <is>
          <t>Technology</t>
        </is>
      </c>
      <c r="B43" s="9" t="inlineStr">
        <is>
          <t>Org Backbone</t>
        </is>
      </c>
      <c r="C43" s="10" t="inlineStr">
        <is>
          <t>IT, SaaS &amp; AI tooling</t>
        </is>
      </c>
      <c r="D43" s="11" t="inlineStr">
        <is>
          <t>Google Workspace &amp; email</t>
        </is>
      </c>
      <c r="E43" s="12" t="inlineStr">
        <is>
          <t>Per-seat</t>
        </is>
      </c>
      <c r="F43" s="13" t="n">
        <v>300000</v>
      </c>
      <c r="G43" s="14" t="inlineStr">
        <is>
          <t>GL: Tech Infra. Recurring per-seat — scales with headcount. RCM watch.</t>
        </is>
      </c>
    </row>
    <row r="44" ht="32" customHeight="1">
      <c r="A44" s="15" t="inlineStr">
        <is>
          <t>Technology</t>
        </is>
      </c>
      <c r="B44" s="3" t="inlineStr">
        <is>
          <t>Org Backbone</t>
        </is>
      </c>
      <c r="C44" s="4" t="inlineStr">
        <is>
          <t>IT, SaaS &amp; AI tooling</t>
        </is>
      </c>
      <c r="D44" s="5" t="inlineStr">
        <is>
          <t>Slack &amp; collaboration</t>
        </is>
      </c>
      <c r="E44" s="6" t="inlineStr">
        <is>
          <t>Per-seat</t>
        </is>
      </c>
      <c r="F44" s="7" t="n">
        <v>200000</v>
      </c>
      <c r="G44" s="8" t="inlineStr">
        <is>
          <t>GL: Tech Infra. Recurring per-seat. RCM watch.</t>
        </is>
      </c>
    </row>
    <row r="45" ht="32" customHeight="1">
      <c r="A45" s="15" t="inlineStr">
        <is>
          <t>Technology</t>
        </is>
      </c>
      <c r="B45" s="9" t="inlineStr">
        <is>
          <t>Org Backbone</t>
        </is>
      </c>
      <c r="C45" s="10" t="inlineStr">
        <is>
          <t>IT, SaaS &amp; AI tooling</t>
        </is>
      </c>
      <c r="D45" s="11" t="inlineStr">
        <is>
          <t>HRMS 'CFI People' &amp; other SaaS</t>
        </is>
      </c>
      <c r="E45" s="12" t="inlineStr"/>
      <c r="F45" s="13" t="n">
        <v>200000</v>
      </c>
      <c r="G45" s="14" t="inlineStr">
        <is>
          <t>GL: Tech Infra. HRMS + misc SaaS. Recurring.</t>
        </is>
      </c>
    </row>
    <row r="46" ht="32" customHeight="1">
      <c r="A46" s="15" t="inlineStr">
        <is>
          <t>Technology</t>
        </is>
      </c>
      <c r="B46" s="3" t="inlineStr">
        <is>
          <t>Org Backbone</t>
        </is>
      </c>
      <c r="C46" s="4" t="inlineStr">
        <is>
          <t>IT, SaaS &amp; AI tooling</t>
        </is>
      </c>
      <c r="D46" s="5" t="inlineStr">
        <is>
          <t>Cloud, hosting &amp; domains</t>
        </is>
      </c>
      <c r="E46" s="6" t="inlineStr">
        <is>
          <t>Not product-specific</t>
        </is>
      </c>
      <c r="F46" s="7" t="n">
        <v>100000</v>
      </c>
      <c r="G46" s="8" t="inlineStr">
        <is>
          <t>GL: Tech Infra. Domains/hosting. Recurring.</t>
        </is>
      </c>
    </row>
    <row r="47" ht="32" customHeight="1">
      <c r="A47" s="19" t="inlineStr">
        <is>
          <t>Trust Admin</t>
        </is>
      </c>
      <c r="B47" s="9" t="inlineStr">
        <is>
          <t>Org Backbone</t>
        </is>
      </c>
      <c r="C47" s="10" t="inlineStr">
        <is>
          <t>M&amp;E &amp; audit</t>
        </is>
      </c>
      <c r="D47" s="11" t="inlineStr">
        <is>
          <t>M&amp;E, statutory &amp; impact audit</t>
        </is>
      </c>
      <c r="E47" s="12" t="inlineStr">
        <is>
          <t>Statutory audit + M&amp;E</t>
        </is>
      </c>
      <c r="F47" s="13" t="n">
        <v>600000</v>
      </c>
      <c r="G47" s="14" t="inlineStr">
        <is>
          <t>GL: Audit &amp; Compliance. TDS 194J. Year-end weighted.</t>
        </is>
      </c>
    </row>
    <row r="48" ht="32" customHeight="1">
      <c r="A48" s="19" t="inlineStr">
        <is>
          <t>Trust Admin</t>
        </is>
      </c>
      <c r="B48" s="3" t="inlineStr">
        <is>
          <t>Org Backbone</t>
        </is>
      </c>
      <c r="C48" s="4" t="inlineStr">
        <is>
          <t>Overheads (travel/branding/compliance)</t>
        </is>
      </c>
      <c r="D48" s="5" t="inlineStr">
        <is>
          <t>Travel, branding &amp; compliance</t>
        </is>
      </c>
      <c r="E48" s="6" t="inlineStr">
        <is>
          <t>Org travel, branding, compliance</t>
        </is>
      </c>
      <c r="F48" s="7" t="n">
        <v>1100000</v>
      </c>
      <c r="G48" s="8" t="inlineStr">
        <is>
          <t>GL: mixed (Travel + Marketing + Compliance). Split into 3 lines if you want cleaner cost-head pivots.</t>
        </is>
      </c>
    </row>
    <row r="49" ht="32" customHeight="1">
      <c r="A49" s="21" t="inlineStr">
        <is>
          <t>Contingency</t>
        </is>
      </c>
      <c r="B49" s="9" t="inlineStr">
        <is>
          <t>Contingency</t>
        </is>
      </c>
      <c r="C49" s="10" t="inlineStr">
        <is>
          <t>Contingency reserve</t>
        </is>
      </c>
      <c r="D49" s="11" t="inlineStr">
        <is>
          <t>Contingency reserve (4%)</t>
        </is>
      </c>
      <c r="E49" s="12" t="inlineStr">
        <is>
          <t>Held against programme + admin spend</t>
        </is>
      </c>
      <c r="F49" s="13" t="n">
        <v>2400000</v>
      </c>
      <c r="G49" s="14" t="inlineStr">
        <is>
          <t>GL: Contingency (do NOT pre-allocate). Release only on approved overruns and RE-TAG to the actual head when spent.</t>
        </is>
      </c>
    </row>
  </sheetData>
  <autoFilter ref="A1:G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</cols>
  <sheetData>
    <row r="1" ht="24" customHeight="1">
      <c r="A1" s="22" t="inlineStr">
        <is>
          <t>Reconciliation — ties to the AOP (₹6.00 Cr)</t>
        </is>
      </c>
    </row>
    <row r="2">
      <c r="A2" s="23" t="inlineStr">
        <is>
          <t>Grand total</t>
        </is>
      </c>
      <c r="B2" s="24">
        <f>SUM('AOP Bifurcation'!$F$2:$F$49)</f>
        <v/>
      </c>
      <c r="C2" s="25" t="inlineStr">
        <is>
          <t>expected ₹6,00,00,000</t>
        </is>
      </c>
    </row>
    <row r="4">
      <c r="A4" s="26" t="inlineStr">
        <is>
          <t>By Vertical (functional)</t>
        </is>
      </c>
    </row>
    <row r="5">
      <c r="A5" s="27" t="inlineStr">
        <is>
          <t>Vertical</t>
        </is>
      </c>
      <c r="B5" s="28" t="inlineStr">
        <is>
          <t>Budget (₹)</t>
        </is>
      </c>
      <c r="C5" s="28" t="inlineStr">
        <is>
          <t>% of AOP</t>
        </is>
      </c>
    </row>
    <row r="6">
      <c r="A6" s="29" t="inlineStr">
        <is>
          <t>Infrastructure</t>
        </is>
      </c>
      <c r="B6" s="30">
        <f>SUMIF('AOP Bifurcation'!$A$2:$A$49,A6,'AOP Bifurcation'!$F$2:$F$49)</f>
        <v/>
      </c>
      <c r="C6" s="31">
        <f>B6/$B$2</f>
        <v/>
      </c>
    </row>
    <row r="7">
      <c r="A7" s="32" t="inlineStr">
        <is>
          <t>Technology</t>
        </is>
      </c>
      <c r="B7" s="30">
        <f>SUMIF('AOP Bifurcation'!$A$2:$A$49,A7,'AOP Bifurcation'!$F$2:$F$49)</f>
        <v/>
      </c>
      <c r="C7" s="31">
        <f>B7/$B$2</f>
        <v/>
      </c>
    </row>
    <row r="8">
      <c r="A8" s="33" t="inlineStr">
        <is>
          <t>Post-emergency care</t>
        </is>
      </c>
      <c r="B8" s="30">
        <f>SUMIF('AOP Bifurcation'!$A$2:$A$49,A8,'AOP Bifurcation'!$F$2:$F$49)</f>
        <v/>
      </c>
      <c r="C8" s="31">
        <f>B8/$B$2</f>
        <v/>
      </c>
    </row>
    <row r="9">
      <c r="A9" s="34" t="inlineStr">
        <is>
          <t>Policy</t>
        </is>
      </c>
      <c r="B9" s="30">
        <f>SUMIF('AOP Bifurcation'!$A$2:$A$49,A9,'AOP Bifurcation'!$F$2:$F$49)</f>
        <v/>
      </c>
      <c r="C9" s="31">
        <f>B9/$B$2</f>
        <v/>
      </c>
    </row>
    <row r="10">
      <c r="A10" s="35" t="inlineStr">
        <is>
          <t>Education</t>
        </is>
      </c>
      <c r="B10" s="30">
        <f>SUMIF('AOP Bifurcation'!$A$2:$A$49,A10,'AOP Bifurcation'!$F$2:$F$49)</f>
        <v/>
      </c>
      <c r="C10" s="31">
        <f>B10/$B$2</f>
        <v/>
      </c>
    </row>
    <row r="11">
      <c r="A11" s="36" t="inlineStr">
        <is>
          <t>Trust Admin</t>
        </is>
      </c>
      <c r="B11" s="30">
        <f>SUMIF('AOP Bifurcation'!$A$2:$A$49,A11,'AOP Bifurcation'!$F$2:$F$49)</f>
        <v/>
      </c>
      <c r="C11" s="31">
        <f>B11/$B$2</f>
        <v/>
      </c>
    </row>
    <row r="12">
      <c r="A12" s="37" t="inlineStr">
        <is>
          <t>Enabler</t>
        </is>
      </c>
      <c r="B12" s="30">
        <f>SUMIF('AOP Bifurcation'!$A$2:$A$49,A12,'AOP Bifurcation'!$F$2:$F$49)</f>
        <v/>
      </c>
      <c r="C12" s="31">
        <f>B12/$B$2</f>
        <v/>
      </c>
    </row>
    <row r="13">
      <c r="A13" s="38" t="inlineStr">
        <is>
          <t>Contingency</t>
        </is>
      </c>
      <c r="B13" s="30">
        <f>SUMIF('AOP Bifurcation'!$A$2:$A$49,A13,'AOP Bifurcation'!$F$2:$F$49)</f>
        <v/>
      </c>
      <c r="C13" s="31">
        <f>B13/$B$2</f>
        <v/>
      </c>
    </row>
    <row r="14">
      <c r="A14" s="23" t="inlineStr">
        <is>
          <t>Total</t>
        </is>
      </c>
      <c r="B14" s="24">
        <f>SUM(B6:B13)</f>
        <v/>
      </c>
      <c r="C14" s="39" t="n"/>
    </row>
    <row r="16">
      <c r="A16" s="26" t="inlineStr">
        <is>
          <t>By Category (core focus area)</t>
        </is>
      </c>
    </row>
    <row r="17">
      <c r="A17" s="27" t="inlineStr">
        <is>
          <t>Category (focus area)</t>
        </is>
      </c>
      <c r="B17" s="28" t="inlineStr">
        <is>
          <t>Budget (₹)</t>
        </is>
      </c>
      <c r="C17" s="28" t="inlineStr">
        <is>
          <t>% of AOP</t>
        </is>
      </c>
    </row>
    <row r="18">
      <c r="A18" s="40" t="inlineStr">
        <is>
          <t>Project Rakshak</t>
        </is>
      </c>
      <c r="B18" s="30">
        <f>SUMIF('AOP Bifurcation'!$B$2:$B$49,A18,'AOP Bifurcation'!$F$2:$F$49)</f>
        <v/>
      </c>
      <c r="C18" s="31">
        <f>B18/$B$2</f>
        <v/>
      </c>
    </row>
    <row r="19">
      <c r="A19" s="40" t="inlineStr">
        <is>
          <t>Hit &amp; Run Compensation</t>
        </is>
      </c>
      <c r="B19" s="30">
        <f>SUMIF('AOP Bifurcation'!$B$2:$B$49,A19,'AOP Bifurcation'!$F$2:$F$49)</f>
        <v/>
      </c>
      <c r="C19" s="31">
        <f>B19/$B$2</f>
        <v/>
      </c>
    </row>
    <row r="20">
      <c r="A20" s="40" t="inlineStr">
        <is>
          <t>Civic &amp; GovTech (SATARK)</t>
        </is>
      </c>
      <c r="B20" s="30">
        <f>SUMIF('AOP Bifurcation'!$B$2:$B$49,A20,'AOP Bifurcation'!$F$2:$F$49)</f>
        <v/>
      </c>
      <c r="C20" s="31">
        <f>B20/$B$2</f>
        <v/>
      </c>
    </row>
    <row r="21">
      <c r="A21" s="40" t="inlineStr">
        <is>
          <t>Marketing Campaign</t>
        </is>
      </c>
      <c r="B21" s="30">
        <f>SUMIF('AOP Bifurcation'!$B$2:$B$49,A21,'AOP Bifurcation'!$F$2:$F$49)</f>
        <v/>
      </c>
      <c r="C21" s="31">
        <f>B21/$B$2</f>
        <v/>
      </c>
    </row>
    <row r="22">
      <c r="A22" s="40" t="inlineStr">
        <is>
          <t>Bets — School Safety Index</t>
        </is>
      </c>
      <c r="B22" s="30">
        <f>SUMIF('AOP Bifurcation'!$B$2:$B$49,A22,'AOP Bifurcation'!$F$2:$F$49)</f>
        <v/>
      </c>
      <c r="C22" s="31">
        <f>B22/$B$2</f>
        <v/>
      </c>
    </row>
    <row r="23">
      <c r="A23" s="40" t="inlineStr">
        <is>
          <t>Bets — Gig Rider</t>
        </is>
      </c>
      <c r="B23" s="30">
        <f>SUMIF('AOP Bifurcation'!$B$2:$B$49,A23,'AOP Bifurcation'!$F$2:$F$49)</f>
        <v/>
      </c>
      <c r="C23" s="31">
        <f>B23/$B$2</f>
        <v/>
      </c>
    </row>
    <row r="24">
      <c r="A24" s="40" t="inlineStr">
        <is>
          <t>Org Backbone</t>
        </is>
      </c>
      <c r="B24" s="30">
        <f>SUMIF('AOP Bifurcation'!$B$2:$B$49,A24,'AOP Bifurcation'!$F$2:$F$49)</f>
        <v/>
      </c>
      <c r="C24" s="31">
        <f>B24/$B$2</f>
        <v/>
      </c>
    </row>
    <row r="25">
      <c r="A25" s="40" t="inlineStr">
        <is>
          <t>Contingency</t>
        </is>
      </c>
      <c r="B25" s="30">
        <f>SUMIF('AOP Bifurcation'!$B$2:$B$49,A25,'AOP Bifurcation'!$F$2:$F$49)</f>
        <v/>
      </c>
      <c r="C25" s="31">
        <f>B25/$B$2</f>
        <v/>
      </c>
    </row>
    <row r="26">
      <c r="A26" s="23" t="inlineStr">
        <is>
          <t>Total</t>
        </is>
      </c>
      <c r="B26" s="24">
        <f>SUM(B18:B25)</f>
        <v/>
      </c>
      <c r="C26" s="39" t="n"/>
    </row>
  </sheetData>
  <mergeCells count="3">
    <mergeCell ref="A1:C1"/>
    <mergeCell ref="A4:C4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1" t="inlineStr">
        <is>
          <t>CFI · AOP 2026–27 — budget bifurcation (flat, pivot-ready · 4-level)</t>
        </is>
      </c>
    </row>
    <row r="2">
      <c r="A2" s="42" t="inlineStr"/>
    </row>
    <row r="3">
      <c r="A3" s="43" t="inlineStr">
        <is>
          <t>COLUMNS</t>
        </is>
      </c>
    </row>
    <row r="4">
      <c r="A4" s="44" t="inlineStr">
        <is>
          <t>A Vertical (functional) · B Category (focus area / programme) · C Cost group (high-level bifurcation) ·</t>
        </is>
      </c>
    </row>
    <row r="5">
      <c r="A5" s="44" t="inlineStr">
        <is>
          <t>D Further bifurcation (line item) · E Description · F Budget allocated · G Remarks for Keshav.</t>
        </is>
      </c>
    </row>
    <row r="6">
      <c r="A6" s="44" t="inlineStr">
        <is>
          <t>Every value repeats down the rows (no merged cells) so you can pivot at any of the four levels.</t>
        </is>
      </c>
    </row>
    <row r="7">
      <c r="A7" s="42" t="inlineStr"/>
    </row>
    <row r="8">
      <c r="A8" s="43" t="inlineStr">
        <is>
          <t>HOW TO PIVOT</t>
        </is>
      </c>
    </row>
    <row r="9">
      <c r="A9" s="44" t="inlineStr">
        <is>
          <t>Select 'AOP Bifurcation' ▸ Insert ▸ PivotTable. Rows: any of Vertical / Category / Cost group / line item; Values: Sum of Budget.</t>
        </is>
      </c>
    </row>
    <row r="10">
      <c r="A10" s="44" t="inlineStr">
        <is>
          <t>'Summary' reconciles to ₹6.00 Cr with a by-Vertical and a by-Category view.</t>
        </is>
      </c>
    </row>
    <row r="11">
      <c r="A11" s="42" t="inlineStr"/>
    </row>
    <row r="12">
      <c r="A12" s="45" t="inlineStr">
        <is>
          <t>BASIS</t>
        </is>
      </c>
    </row>
    <row r="13">
      <c r="A13" s="44" t="inlineStr">
        <is>
          <t>EXACT (board-approved AOP): Category totals — Rakshak ₹1.85 Cr, Hit &amp; Run ₹0.60, SATARK ₹1.00, Campaign ₹0.60,</t>
        </is>
      </c>
    </row>
    <row r="14">
      <c r="A14" s="44" t="inlineStr">
        <is>
          <t xml:space="preserve">   Bets ₹0.20, Org Backbone ₹1.51, Contingency ₹0.24 = ₹6.00 Cr; plus Trust Admin's five headers.</t>
        </is>
      </c>
    </row>
    <row r="15">
      <c r="A15" s="44" t="inlineStr">
        <is>
          <t>FIRST-PASS (edit freely): cost-group &amp; line-item splits inside programmes, the ₹42L core vs ₹36L SMIF split,</t>
        </is>
      </c>
    </row>
    <row r="16">
      <c r="A16" s="44" t="inlineStr">
        <is>
          <t xml:space="preserve">   the ₹0.14 Cr AI/SaaS itemisation, and the functional Vertical tag on each line.</t>
        </is>
      </c>
    </row>
    <row r="17">
      <c r="A17" s="42" t="inlineStr"/>
    </row>
    <row r="18">
      <c r="A18" s="46" t="inlineStr">
        <is>
          <t>FOR KESHAV</t>
        </is>
      </c>
    </row>
    <row r="19">
      <c r="A19" s="44" t="inlineStr">
        <is>
          <t>Remarks give GL head + TDS/GST/RCM + recurring-vs-one-time per line. Watch double-count on 'staff allocation' lines.</t>
        </is>
      </c>
    </row>
    <row r="20">
      <c r="A20" s="44" t="inlineStr">
        <is>
          <t>Fellows: Rakshak stipends, Hit &amp; Run Fellow-in-Residence, SMIF (Org Backbone). AI tooling is its own line (IT/SaaS/AI group).</t>
        </is>
      </c>
    </row>
    <row r="21">
      <c r="A21" s="42" t="inlineStr"/>
    </row>
    <row r="22">
      <c r="A22" s="47" t="inlineStr">
        <is>
          <t>Sources: finalized AOP deck (₹6.00 Cr) · Team Charter / Ownership Map · Slack · Gmail (Anthropic receipts, SMIF, Codex).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2026-08-19T10:18:39Z</dcterms:created>
  <dcterms:modified xmlns:dcterms="http://purl.org/dc/terms/" xmlns:xsi="http://www.w3.org/2001/XMLSchema-instance" xsi:type="dcterms:W3CDTF">2026-08-19T10:18:39Z</dcterms:modified>
</cp:coreProperties>
</file>