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Summary" sheetId="1" state="visible" r:id="rId3"/>
    <sheet name="Budget Detail" sheetId="2" state="visible" r:id="rId4"/>
    <sheet name="Notes &amp; Assum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<sst xmlns="http://schemas.openxmlformats.org/spreadsheetml/2006/main" count="236" uniqueCount="160">
  <si>
    <t xml:space="preserve">Crashfree India — Annual Operating Plan 2026-27</t>
  </si>
  <si>
    <t xml:space="preserve">Budget Summary  |  July 2026 - June 2027  |  Total: Rs 6.00 Cr</t>
  </si>
  <si>
    <t xml:space="preserve">Vertical</t>
  </si>
  <si>
    <t xml:space="preserve">Q1 (Jul-Sep)</t>
  </si>
  <si>
    <t xml:space="preserve">Q2 (Oct-Dec)</t>
  </si>
  <si>
    <t xml:space="preserve">Q3 (Jan-Mar)</t>
  </si>
  <si>
    <t xml:space="preserve">Q4 (Apr-Jun)</t>
  </si>
  <si>
    <t xml:space="preserve">Total (Rs Lakh)</t>
  </si>
  <si>
    <t xml:space="preserve">Total (Rs Cr)</t>
  </si>
  <si>
    <t xml:space="preserve">% of Total</t>
  </si>
  <si>
    <t xml:space="preserve">Project Rakshak</t>
  </si>
  <si>
    <t xml:space="preserve">Civic &amp; GovTech (SATARK)</t>
  </si>
  <si>
    <t xml:space="preserve">Hit &amp; Run Compensation</t>
  </si>
  <si>
    <t xml:space="preserve">Marketing Campaign</t>
  </si>
  <si>
    <t xml:space="preserve">Trust Admin</t>
  </si>
  <si>
    <t xml:space="preserve">Bets (Seed Fund)</t>
  </si>
  <si>
    <t xml:space="preserve">Contingency</t>
  </si>
  <si>
    <t xml:space="preserve">TOTAL</t>
  </si>
  <si>
    <t xml:space="preserve">Programme spend (Rakshak + Civic &amp; GovTech + H&amp;R + Marketing + Bets seed): Rs 4.25 Cr (~71%)  |  Trust Admin: Rs 1.51 Cr (~25%)  |  Contingency: Rs 0.24 Cr (4%)</t>
  </si>
  <si>
    <t xml:space="preserve">Crashfree India — AOP 2026-27 Budget Detail</t>
  </si>
  <si>
    <t xml:space="preserve">All quarterly figures in Rs Lakh. Blue cells are editable inputs; totals recalculate automatically. Period: July 2026 - June 2027.</t>
  </si>
  <si>
    <t xml:space="preserve">Programme / Activity</t>
  </si>
  <si>
    <t xml:space="preserve">Line Item</t>
  </si>
  <si>
    <t xml:space="preserve">Basis of Estimate</t>
  </si>
  <si>
    <t xml:space="preserve">Total (Rs)</t>
  </si>
  <si>
    <t xml:space="preserve">Cohort 2 — Audit Pipeline</t>
  </si>
  <si>
    <t xml:space="preserve">Student team stipends</t>
  </si>
  <si>
    <t xml:space="preserve">100 teams x Rs 36,000 (4-month cohort; performance-linked tranches)</t>
  </si>
  <si>
    <t xml:space="preserve">Mentor honorarium</t>
  </si>
  <si>
    <t xml:space="preserve">25 faculty/expert mentors x Rs 24,000</t>
  </si>
  <si>
    <t xml:space="preserve">Certified RSA audits (Track C)</t>
  </si>
  <si>
    <t xml:space="preserve">~40 NH/complex-junction sites x Rs 25,000 (CRRI-certified RSAs, IRC SP:88)</t>
  </si>
  <si>
    <t xml:space="preserve">NGO partner grants (Track B)</t>
  </si>
  <si>
    <t xml:space="preserve">~20 district/peri-urban sites; incl. 10-15% physical re-checks by CFI</t>
  </si>
  <si>
    <t xml:space="preserve">Programme Management</t>
  </si>
  <si>
    <t xml:space="preserve">Programme team (fellows, PM, advocacy)</t>
  </si>
  <si>
    <t xml:space="preserve">2-3 fellows + programme staff stipends, 12 months</t>
  </si>
  <si>
    <t xml:space="preserve">Institutionalisation</t>
  </si>
  <si>
    <t xml:space="preserve">Expert Consortium + Rakshak Audit Manual v1.0</t>
  </si>
  <si>
    <t xml:space="preserve">4 consortium meetings/yr + manual drafting, design &amp; print</t>
  </si>
  <si>
    <t xml:space="preserve">Public dashboard &amp; tech maintenance</t>
  </si>
  <si>
    <t xml:space="preserve">Hosting, dev upkeep of accountability dashboard</t>
  </si>
  <si>
    <t xml:space="preserve">Post-intervention impact audits</t>
  </si>
  <si>
    <t xml:space="preserve">Before/after assessment at implemented sites</t>
  </si>
  <si>
    <t xml:space="preserve">Engagement &amp; Visibility</t>
  </si>
  <si>
    <t xml:space="preserve">Rakshak Finale + national awards</t>
  </si>
  <si>
    <t xml:space="preserve">Annual finale event + prize pool for top teams (trimmed from 50L in prior draft)</t>
  </si>
  <si>
    <t xml:space="preserve">Travel &amp; field logistics</t>
  </si>
  <si>
    <t xml:space="preserve">Team + mentor travel to anchor districts and audit sites</t>
  </si>
  <si>
    <t xml:space="preserve">Media, documentation &amp; communication</t>
  </si>
  <si>
    <t xml:space="preserve">Site stories, audit report design, public communication</t>
  </si>
  <si>
    <t xml:space="preserve">DRSC &amp; stakeholder engagement</t>
  </si>
  <si>
    <t xml:space="preserve">12+ DRSC presentations; district administration consultations</t>
  </si>
  <si>
    <t xml:space="preserve">Campus ambassadors &amp; outreach</t>
  </si>
  <si>
    <t xml:space="preserve">Student mobilisation across partner universities</t>
  </si>
  <si>
    <t xml:space="preserve">SATARK Platform</t>
  </si>
  <si>
    <t xml:space="preserve">Product engineering team</t>
  </si>
  <si>
    <t xml:space="preserve">2-3 engineers + product lead: SATARK rule engine, officer enforcement app, control-room views (team size &amp; rates assumed - no cost data in SATARK docs)</t>
  </si>
  <si>
    <t xml:space="preserve">New city deployments &amp; police integration</t>
  </si>
  <si>
    <t xml:space="preserve">Software-side go-lives for the 30-city scale target (Gurugram, Pune, Ahmedabad first). ASSUMES camera/billboard/infra costs are borne by city police &amp; partners - CFI funds integration, rules setup &amp; go-live support (~Rs 0.7L/city; validate)</t>
  </si>
  <si>
    <t xml:space="preserve">Cloud, ULIP API &amp; data infrastructure</t>
  </si>
  <si>
    <t xml:space="preserve">Hosting, ANPR data pipelines, ULIP query volumes, security &amp; uptime</t>
  </si>
  <si>
    <t xml:space="preserve">Officer training &amp; field support</t>
  </si>
  <si>
    <t xml:space="preserve">Role-based training, enforcement-drive support, false-positive review loop with police</t>
  </si>
  <si>
    <t xml:space="preserve">Data Stack Public Goods</t>
  </si>
  <si>
    <t xml:space="preserve">Four open data products</t>
  </si>
  <si>
    <t xml:space="preserve">Defect Repository, Road Safety in Parliament, SC Litigation Tracker, Crash Data Dashboard: cloud automation, AI pipeline costs, human-review console, annual RAI refresh</t>
  </si>
  <si>
    <t xml:space="preserve">Product design, dashboards &amp; impact evaluation</t>
  </si>
  <si>
    <t xml:space="preserve">Design upkeep + instrumentation: interceptions logged, data citations in DRSCs/press</t>
  </si>
  <si>
    <t xml:space="preserve">Vertical team</t>
  </si>
  <si>
    <t xml:space="preserve">Vertical lead + 2 research fellows (~Rs 50K/mo) + rolling intern roster (~Rs 15K/mo)</t>
  </si>
  <si>
    <t xml:space="preserve">Field Operations</t>
  </si>
  <si>
    <t xml:space="preserve">Field travel</t>
  </si>
  <si>
    <t xml:space="preserve">Gurugram + SW Delhi + Jaipur visits; watchlist district trips (air + lodging + per diem)</t>
  </si>
  <si>
    <t xml:space="preserve">AASHA go-to-market</t>
  </si>
  <si>
    <t xml:space="preserve">QR standees + print collateral at PS/hospitals/DRSC venues; WhatsApp Business hosting</t>
  </si>
  <si>
    <t xml:space="preserve">Advocacy</t>
  </si>
  <si>
    <t xml:space="preserve">Stakeholder roundtables</t>
  </si>
  <si>
    <t xml:space="preserve">3-4 roundtables anchored to quarterly audit-findings releases</t>
  </si>
  <si>
    <t xml:space="preserve">Audit &amp; Research</t>
  </si>
  <si>
    <t xml:space="preserve">District process mapping &amp; comparative notes</t>
  </si>
  <si>
    <t xml:space="preserve">Stage-wise pipeline audit (Gurugram deep-dive) + comparative mapping toward 8+ districts by Jun 2027 (SW Delhi, Jaipur, watchlist)</t>
  </si>
  <si>
    <t xml:space="preserve">Victim narratives, scheme audit report &amp; public brief</t>
  </si>
  <si>
    <t xml:space="preserve">Case studies, year-end audit report production, 4-6 pg public brief</t>
  </si>
  <si>
    <t xml:space="preserve">School Safety Index (bet)</t>
  </si>
  <si>
    <t xml:space="preserve">Rubric validation + one-city pilot</t>
  </si>
  <si>
    <t xml:space="preserve">IRC:SP:32-2023 rubric (44 checks / 13 sections) validated on ~100 schools in one city; released only against a board-approved pilot design</t>
  </si>
  <si>
    <t xml:space="preserve">Gig Rider Safety (bet)</t>
  </si>
  <si>
    <t xml:space="preserve">Scoping study + platform engagement</t>
  </si>
  <si>
    <t xml:space="preserve">Crash-registry scoping + first conversations with delivery platforms &amp; OMI; released only against a board-approved study design</t>
  </si>
  <si>
    <t xml:space="preserve">Safety is the New Swag</t>
  </si>
  <si>
    <t xml:space="preserve">Digital advocacy</t>
  </si>
  <si>
    <t xml:space="preserve">50 micro-influencers, branded short films, #SafeSwag digital IPs</t>
  </si>
  <si>
    <t xml:space="preserve">Media advocacy</t>
  </si>
  <si>
    <t xml:space="preserve">Editorial partnerships, radio/podcast integration, PSA distribution</t>
  </si>
  <si>
    <t xml:space="preserve">Offline awareness</t>
  </si>
  <si>
    <t xml:space="preserve">OOH in 3-4 cities, guerilla installations, event co-branding</t>
  </si>
  <si>
    <t xml:space="preserve">Community mobilization</t>
  </si>
  <si>
    <t xml:space="preserve">College competitions, app-based engagement, real-life stories</t>
  </si>
  <si>
    <t xml:space="preserve">Campaign management</t>
  </si>
  <si>
    <t xml:space="preserve">Dedicated campaign resource (was untagged 'people cost' in prior draft)</t>
  </si>
  <si>
    <t xml:space="preserve">People</t>
  </si>
  <si>
    <t xml:space="preserve">Salaries &amp; benefits</t>
  </si>
  <si>
    <t xml:space="preserve">Core team salaries, EPF, insurance, allowances</t>
  </si>
  <si>
    <t xml:space="preserve">Institutional</t>
  </si>
  <si>
    <t xml:space="preserve">Institutional support &amp; expert consultation</t>
  </si>
  <si>
    <t xml:space="preserve">IRSC institutional charge (~Rs 3.5L/mo) + leadership/expert consultation fees</t>
  </si>
  <si>
    <t xml:space="preserve">Technology</t>
  </si>
  <si>
    <t xml:space="preserve">IT, SaaS &amp; AI tools</t>
  </si>
  <si>
    <t xml:space="preserve">Google Workspace, Slack, Zoom, Claude, Lovable, domain &amp; cloud</t>
  </si>
  <si>
    <t xml:space="preserve">Governance</t>
  </si>
  <si>
    <t xml:space="preserve">M&amp;E + statutory &amp; impact audit</t>
  </si>
  <si>
    <t xml:space="preserve">Monitoring &amp; evaluation, statutory audit, impact measurement</t>
  </si>
  <si>
    <t xml:space="preserve">Operations</t>
  </si>
  <si>
    <t xml:space="preserve">Travel &amp; networking</t>
  </si>
  <si>
    <t xml:space="preserve">Leadership travel to conferences, stakeholder meetings</t>
  </si>
  <si>
    <t xml:space="preserve">Branding &amp; outreach collateral</t>
  </si>
  <si>
    <t xml:space="preserve">Brand kit, brochures, merchandise, content</t>
  </si>
  <si>
    <t xml:space="preserve">Virtual office &amp; compliance</t>
  </si>
  <si>
    <t xml:space="preserve">Registered virtual office rent for compliance</t>
  </si>
  <si>
    <t xml:space="preserve">Contingency reserve (4%)</t>
  </si>
  <si>
    <t xml:space="preserve">4% of Rs 6.00 Cr total budget; buffer for partner-driven and unbudgeted costs</t>
  </si>
  <si>
    <t xml:space="preserve">GRAND TOTAL</t>
  </si>
  <si>
    <t xml:space="preserve">HOW TO USE THIS WORKBOOK</t>
  </si>
  <si>
    <t xml:space="preserve">Editable cells</t>
  </si>
  <si>
    <t xml:space="preserve">Blue-font cells on 'Budget Detail' (quarterly amounts, Rs Lakh) are the only inputs. All totals, the summary sheet, and %s recalculate automatically.</t>
  </si>
  <si>
    <t xml:space="preserve">Structure</t>
  </si>
  <si>
    <t xml:space="preserve">Each line = Vertical &gt; Programme &gt; Line Item with an explicit basis of estimate (unit x rate wherever available).</t>
  </si>
  <si>
    <t xml:space="preserve">Period</t>
  </si>
  <si>
    <t xml:space="preserve">Q1 = Jul-Sep 2026, Q2 = Oct-Dec 2026, Q3 = Jan-Mar 2027, Q4 = Apr-Jun 2027.</t>
  </si>
  <si>
    <t xml:space="preserve">KEY ASSUMPTIONS (from AOP source documents; verify before board sign-off)</t>
  </si>
  <si>
    <t xml:space="preserve">Rakshak</t>
  </si>
  <si>
    <t xml:space="preserve">100 student teams @ Rs 36K (Cohort 2 AOP); 25 mentors @ Rs 24K; Track C = ~40 sites @ ~Rs 25K/site RSA fee (rate assumed - confirm with empanelment EOIs); NGO Track B grants Rs 12L.</t>
  </si>
  <si>
    <t xml:space="preserve">Civic &amp; GovTech</t>
  </si>
  <si>
    <t xml:space="preserve">NEW vertical, set at exactly Rs 1.00 Cr per Akhtar's instruction. Target: SATARK scaled to 30 cities by Jun 2027 (live today: Jaipur + Bengaluru) + four open data products + exploration of new govtech/DPG opportunities. SATARK docs contain NO cost data - every line is a planning assumption. CRITICAL: Rs 1 Cr funds the software/integration side only; a 30-city rollout assumes city-side infra (ANPR cameras, billboards) is funded by police/partners. Validate before board sign-off.</t>
  </si>
  <si>
    <t xml:space="preserve">Hit &amp; Run</t>
  </si>
  <si>
    <t xml:space="preserve">Sized to the Rs 47-66L envelope in the Crash Claim AOP review deck (set at Rs 60L). Vertical lead compensation assumed inside 'Vertical team' line, per org policy.</t>
  </si>
  <si>
    <t xml:space="preserve">School Safety Index and Gig Rider Safety are no longer funded programmes this year - each carries a Rs 10L seed, released only against a board-approved pilot/study design. If a bet proves out, it returns as a funded Year 3 programme.</t>
  </si>
  <si>
    <t xml:space="preserve">Marketing</t>
  </si>
  <si>
    <t xml:space="preserve">'Safety is the New Swag' campaign consolidated at Rs 60L: all four campaign pillars now carry budgets (prior draft had 3 of 4 pillars at Rs 0) + Rs 8L campaign management (was an untagged Rs 30L 'people cost').</t>
  </si>
  <si>
    <t xml:space="preserve">Salaries Rs 78L; IRSC institutional charge Rs 42L (=~Rs 3.5L/mo, matches mid-year actuals); IT+AI tools consolidated at Rs 14L.</t>
  </si>
  <si>
    <t xml:space="preserve">Exactly 4% of Rs 6.00 Cr = Rs 24L (prior draft said '4%' but held Rs 20L = 3.2%).</t>
  </si>
  <si>
    <t xml:space="preserve">CHANGES IN v4 (vs v3, Jul 2026 - per Akhtar's restructure instruction)</t>
  </si>
  <si>
    <t xml:space="preserve">1</t>
  </si>
  <si>
    <t xml:space="preserve">School Safety Index removed as a funded vertical (was Rs 100L) - moved to the Bets seed fund at Rs 10L.</t>
  </si>
  <si>
    <t xml:space="preserve">2</t>
  </si>
  <si>
    <t xml:space="preserve">Gig Rider Safety removed as a funded vertical (was Rs 20L) - moved to the Bets seed fund at Rs 10L.</t>
  </si>
  <si>
    <t xml:space="preserve">3</t>
  </si>
  <si>
    <t xml:space="preserve">NEW Civic &amp; GovTech (SATARK) vertical added at exactly Rs 100L: SATARK platform Rs 80L + data-stack public goods Rs 20L.</t>
  </si>
  <si>
    <t xml:space="preserve">4</t>
  </si>
  <si>
    <t xml:space="preserve">Grand total unchanged at Rs 600.0L; programme spend unchanged at Rs 425L (~71%); contingency unchanged at Rs 24L (4%).</t>
  </si>
  <si>
    <t xml:space="preserve">CHANGES vs 'Budget Bifurcation_v2' (prior draft, Rs 6.20 Cr - carried from v3)</t>
  </si>
  <si>
    <t xml:space="preserve">Total rebalanced from Rs 619.7L to exactly Rs 600.0L.</t>
  </si>
  <si>
    <t xml:space="preserve">Rakshak trimmed Rs 210L -&gt; Rs 185L: Finale+prizes 50-&gt;30L, media 25-&gt;15L; consortium/manual line added (institutionalisation focus).</t>
  </si>
  <si>
    <t xml:space="preserve">Marketing: 3 campaign pillars had descriptions but Rs 0 budget; all 4 pillars now funded; Rs 30L untagged people cost reduced to Rs 8L campaign management.</t>
  </si>
  <si>
    <t xml:space="preserve">Missing 'Rs Lakh' values fixed (salaries, AI tools, marketing people cost had blank lakh column).</t>
  </si>
  <si>
    <t xml:space="preserve">5</t>
  </si>
  <si>
    <t xml:space="preserve">Every line now has quarterly phasing + basis of estimate; summary + quarterly rollups are formula-driven.</t>
  </si>
  <si>
    <t xml:space="preserve">6</t>
  </si>
  <si>
    <t xml:space="preserve">H&amp;R kept at Rs 60L (within the Rs 47-66L envelope from the vertical AOP deck).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</si>
</sst>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-#,##0.00;\-"/>
    <numFmt numFmtId="166" formatCode="0.00"/>
    <numFmt numFmtId="167" formatCode="0.0%"/>
    <numFmt numFmtId="168" formatCode="#,##0.00"/>
    <numFmt numFmtId="169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A1C1C"/>
      <name val="Arial"/>
      <family val="0"/>
      <charset val="1"/>
    </font>
    <font>
      <sz val="10"/>
      <color rgb="FF77758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C1C"/>
      <name val="Arial"/>
      <family val="0"/>
      <charset val="1"/>
    </font>
    <font>
      <sz val="10"/>
      <color rgb="FF1A1C1C"/>
      <name val="Arial"/>
      <family val="0"/>
      <charset val="1"/>
    </font>
    <font>
      <i val="true"/>
      <sz val="9"/>
      <color rgb="FF777589"/>
      <name val="Arial"/>
      <family val="0"/>
      <charset val="1"/>
    </font>
    <font>
      <b val="true"/>
      <sz val="14"/>
      <color rgb="FF1A1C1C"/>
      <name val="Arial"/>
      <family val="0"/>
      <charset val="1"/>
    </font>
    <font>
      <sz val="9.5"/>
      <color rgb="FF1A1C1C"/>
      <name val="Arial"/>
      <family val="0"/>
      <charset val="1"/>
    </font>
    <font>
      <sz val="9.5"/>
      <color rgb="FF0000FF"/>
      <name val="Arial"/>
      <family val="0"/>
      <charset val="1"/>
    </font>
    <font>
      <b val="true"/>
      <sz val="9.5"/>
      <color rgb="FF1A1C1C"/>
      <name val="Arial"/>
      <family val="0"/>
      <charset val="1"/>
    </font>
    <font>
      <b val="true"/>
      <sz val="11"/>
      <color rgb="FF4A35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A35FF"/>
        <bgColor rgb="FF3366FF"/>
      </patternFill>
    </fill>
    <fill>
      <patternFill patternType="solid">
        <fgColor rgb="FFF3F1FF"/>
        <bgColor rgb="FFFFFFFF"/>
      </patternFill>
    </fill>
    <fill>
      <patternFill patternType="solid">
        <fgColor rgb="FF1A1C1C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E3"/>
      </left>
      <right style="thin">
        <color rgb="FFD9D9E3"/>
      </right>
      <top style="thin">
        <color rgb="FFD9D9E3"/>
      </top>
      <bottom style="thin">
        <color rgb="FFD9D9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9" fontId="11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589"/>
      <rgbColor rgb="FF9999FF"/>
      <rgbColor rgb="FF993366"/>
      <rgbColor rgb="FFF3F1FF"/>
      <rgbColor rgb="FFCCFFFF"/>
      <rgbColor rgb="FF660066"/>
      <rgbColor rgb="FFFF8080"/>
      <rgbColor rgb="FF0066CC"/>
      <rgbColor rgb="FFD9D9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A35FF"/>
      <rgbColor rgb="FF1A1C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3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11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5" t="n">
        <f aca="false">SUMIF('Budget Detail'!$A$5:$A$44,$A5,'Budget Detail'!E$5:E$44)</f>
        <v>37.75</v>
      </c>
      <c r="C5" s="5" t="n">
        <f aca="false">SUMIF('Budget Detail'!$A$5:$A$44,$A5,'Budget Detail'!F$5:F$44)</f>
        <v>54.75</v>
      </c>
      <c r="D5" s="5" t="n">
        <f aca="false">SUMIF('Budget Detail'!$A$5:$A$44,$A5,'Budget Detail'!G$5:G$44)</f>
        <v>51.25</v>
      </c>
      <c r="E5" s="5" t="n">
        <f aca="false">SUMIF('Budget Detail'!$A$5:$A$44,$A5,'Budget Detail'!H$5:H$44)</f>
        <v>41.25</v>
      </c>
      <c r="F5" s="6" t="n">
        <f aca="false">SUM(B5:E5)</f>
        <v>185</v>
      </c>
      <c r="G5" s="7" t="n">
        <f aca="false">F5/100</f>
        <v>1.85</v>
      </c>
      <c r="H5" s="8" t="n">
        <f aca="false">F5/$F$12</f>
        <v>0.308333333333333</v>
      </c>
    </row>
    <row r="6" customFormat="false" ht="15" hidden="false" customHeight="false" outlineLevel="0" collapsed="false">
      <c r="A6" s="9" t="s">
        <v>11</v>
      </c>
      <c r="B6" s="5" t="n">
        <f aca="false">SUMIF('Budget Detail'!$A$5:$A$44,$A6,'Budget Detail'!E$5:E$44)</f>
        <v>21</v>
      </c>
      <c r="C6" s="5" t="n">
        <f aca="false">SUMIF('Budget Detail'!$A$5:$A$44,$A6,'Budget Detail'!F$5:F$44)</f>
        <v>26</v>
      </c>
      <c r="D6" s="5" t="n">
        <f aca="false">SUMIF('Budget Detail'!$A$5:$A$44,$A6,'Budget Detail'!G$5:G$44)</f>
        <v>26.5</v>
      </c>
      <c r="E6" s="5" t="n">
        <f aca="false">SUMIF('Budget Detail'!$A$5:$A$44,$A6,'Budget Detail'!H$5:H$44)</f>
        <v>26.5</v>
      </c>
      <c r="F6" s="6" t="n">
        <f aca="false">SUM(B6:E6)</f>
        <v>100</v>
      </c>
      <c r="G6" s="7" t="n">
        <f aca="false">F6/100</f>
        <v>1</v>
      </c>
      <c r="H6" s="8" t="n">
        <f aca="false">F6/$F$12</f>
        <v>0.166666666666667</v>
      </c>
    </row>
    <row r="7" customFormat="false" ht="15" hidden="false" customHeight="false" outlineLevel="0" collapsed="false">
      <c r="A7" s="4" t="s">
        <v>12</v>
      </c>
      <c r="B7" s="5" t="n">
        <f aca="false">SUMIF('Budget Detail'!$A$5:$A$44,$A7,'Budget Detail'!E$5:E$44)</f>
        <v>15.5</v>
      </c>
      <c r="C7" s="5" t="n">
        <f aca="false">SUMIF('Budget Detail'!$A$5:$A$44,$A7,'Budget Detail'!F$5:F$44)</f>
        <v>16</v>
      </c>
      <c r="D7" s="5" t="n">
        <f aca="false">SUMIF('Budget Detail'!$A$5:$A$44,$A7,'Budget Detail'!G$5:G$44)</f>
        <v>14</v>
      </c>
      <c r="E7" s="5" t="n">
        <f aca="false">SUMIF('Budget Detail'!$A$5:$A$44,$A7,'Budget Detail'!H$5:H$44)</f>
        <v>14.5</v>
      </c>
      <c r="F7" s="6" t="n">
        <f aca="false">SUM(B7:E7)</f>
        <v>60</v>
      </c>
      <c r="G7" s="7" t="n">
        <f aca="false">F7/100</f>
        <v>0.6</v>
      </c>
      <c r="H7" s="8" t="n">
        <f aca="false">F7/$F$12</f>
        <v>0.1</v>
      </c>
    </row>
    <row r="8" customFormat="false" ht="15" hidden="false" customHeight="false" outlineLevel="0" collapsed="false">
      <c r="A8" s="9" t="s">
        <v>13</v>
      </c>
      <c r="B8" s="5" t="n">
        <f aca="false">SUMIF('Budget Detail'!$A$5:$A$44,$A8,'Budget Detail'!E$5:E$44)</f>
        <v>6</v>
      </c>
      <c r="C8" s="5" t="n">
        <f aca="false">SUMIF('Budget Detail'!$A$5:$A$44,$A8,'Budget Detail'!F$5:F$44)</f>
        <v>16</v>
      </c>
      <c r="D8" s="5" t="n">
        <f aca="false">SUMIF('Budget Detail'!$A$5:$A$44,$A8,'Budget Detail'!G$5:G$44)</f>
        <v>21</v>
      </c>
      <c r="E8" s="5" t="n">
        <f aca="false">SUMIF('Budget Detail'!$A$5:$A$44,$A8,'Budget Detail'!H$5:H$44)</f>
        <v>17</v>
      </c>
      <c r="F8" s="6" t="n">
        <f aca="false">SUM(B8:E8)</f>
        <v>60</v>
      </c>
      <c r="G8" s="7" t="n">
        <f aca="false">F8/100</f>
        <v>0.6</v>
      </c>
      <c r="H8" s="8" t="n">
        <f aca="false">F8/$F$12</f>
        <v>0.1</v>
      </c>
    </row>
    <row r="9" customFormat="false" ht="15" hidden="false" customHeight="false" outlineLevel="0" collapsed="false">
      <c r="A9" s="4" t="s">
        <v>14</v>
      </c>
      <c r="B9" s="5" t="n">
        <f aca="false">SUMIF('Budget Detail'!$A$5:$A$44,$A9,'Budget Detail'!E$5:E$44)</f>
        <v>36.25</v>
      </c>
      <c r="C9" s="5" t="n">
        <f aca="false">SUMIF('Budget Detail'!$A$5:$A$44,$A9,'Budget Detail'!F$5:F$44)</f>
        <v>38.25</v>
      </c>
      <c r="D9" s="5" t="n">
        <f aca="false">SUMIF('Budget Detail'!$A$5:$A$44,$A9,'Budget Detail'!G$5:G$44)</f>
        <v>37.75</v>
      </c>
      <c r="E9" s="5" t="n">
        <f aca="false">SUMIF('Budget Detail'!$A$5:$A$44,$A9,'Budget Detail'!H$5:H$44)</f>
        <v>38.75</v>
      </c>
      <c r="F9" s="6" t="n">
        <f aca="false">SUM(B9:E9)</f>
        <v>151</v>
      </c>
      <c r="G9" s="7" t="n">
        <f aca="false">F9/100</f>
        <v>1.51</v>
      </c>
      <c r="H9" s="8" t="n">
        <f aca="false">F9/$F$12</f>
        <v>0.251666666666667</v>
      </c>
    </row>
    <row r="10" customFormat="false" ht="15" hidden="false" customHeight="false" outlineLevel="0" collapsed="false">
      <c r="A10" s="9" t="s">
        <v>15</v>
      </c>
      <c r="B10" s="5" t="n">
        <f aca="false">SUMIF('Budget Detail'!$A$5:$A$44,$A10,'Budget Detail'!E$5:E$44)</f>
        <v>0</v>
      </c>
      <c r="C10" s="5" t="n">
        <f aca="false">SUMIF('Budget Detail'!$A$5:$A$44,$A10,'Budget Detail'!F$5:F$44)</f>
        <v>4</v>
      </c>
      <c r="D10" s="5" t="n">
        <f aca="false">SUMIF('Budget Detail'!$A$5:$A$44,$A10,'Budget Detail'!G$5:G$44)</f>
        <v>8</v>
      </c>
      <c r="E10" s="5" t="n">
        <f aca="false">SUMIF('Budget Detail'!$A$5:$A$44,$A10,'Budget Detail'!H$5:H$44)</f>
        <v>8</v>
      </c>
      <c r="F10" s="6" t="n">
        <f aca="false">SUM(B10:E10)</f>
        <v>20</v>
      </c>
      <c r="G10" s="7" t="n">
        <f aca="false">F10/100</f>
        <v>0.2</v>
      </c>
      <c r="H10" s="8" t="n">
        <f aca="false">F10/$F$12</f>
        <v>0.0333333333333333</v>
      </c>
    </row>
    <row r="11" customFormat="false" ht="15" hidden="false" customHeight="false" outlineLevel="0" collapsed="false">
      <c r="A11" s="4" t="s">
        <v>16</v>
      </c>
      <c r="B11" s="5" t="n">
        <f aca="false">SUMIF('Budget Detail'!$A$5:$A$44,$A11,'Budget Detail'!E$5:E$44)</f>
        <v>6</v>
      </c>
      <c r="C11" s="5" t="n">
        <f aca="false">SUMIF('Budget Detail'!$A$5:$A$44,$A11,'Budget Detail'!F$5:F$44)</f>
        <v>6</v>
      </c>
      <c r="D11" s="5" t="n">
        <f aca="false">SUMIF('Budget Detail'!$A$5:$A$44,$A11,'Budget Detail'!G$5:G$44)</f>
        <v>6</v>
      </c>
      <c r="E11" s="5" t="n">
        <f aca="false">SUMIF('Budget Detail'!$A$5:$A$44,$A11,'Budget Detail'!H$5:H$44)</f>
        <v>6</v>
      </c>
      <c r="F11" s="6" t="n">
        <f aca="false">SUM(B11:E11)</f>
        <v>24</v>
      </c>
      <c r="G11" s="7" t="n">
        <f aca="false">F11/100</f>
        <v>0.24</v>
      </c>
      <c r="H11" s="8" t="n">
        <f aca="false">F11/$F$12</f>
        <v>0.04</v>
      </c>
    </row>
    <row r="12" customFormat="false" ht="15" hidden="false" customHeight="false" outlineLevel="0" collapsed="false">
      <c r="A12" s="10" t="s">
        <v>17</v>
      </c>
      <c r="B12" s="11" t="n">
        <f aca="false">SUM(B5:B11)</f>
        <v>122.5</v>
      </c>
      <c r="C12" s="11" t="n">
        <f aca="false">SUM(C5:C11)</f>
        <v>161</v>
      </c>
      <c r="D12" s="11" t="n">
        <f aca="false">SUM(D5:D11)</f>
        <v>164.5</v>
      </c>
      <c r="E12" s="11" t="n">
        <f aca="false">SUM(E5:E11)</f>
        <v>152</v>
      </c>
      <c r="F12" s="11" t="n">
        <f aca="false">SUM(F5:F11)</f>
        <v>600</v>
      </c>
      <c r="G12" s="12" t="n">
        <f aca="false">SUM(G5:G11)</f>
        <v>6</v>
      </c>
      <c r="H12" s="13" t="n">
        <f aca="false">SUM(H5:H11)</f>
        <v>1</v>
      </c>
    </row>
    <row r="14" customFormat="false" ht="15" hidden="false" customHeight="false" outlineLevel="0" collapsed="false">
      <c r="A14" s="1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52"/>
    <col collapsed="false" customWidth="true" hidden="false" outlineLevel="0" max="8" min="5" style="0" width="11"/>
    <col collapsed="false" customWidth="true" hidden="false" outlineLevel="0" max="9" min="9" style="0" width="13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5" t="s">
        <v>19</v>
      </c>
    </row>
    <row r="2" customFormat="false" ht="15" hidden="false" customHeight="false" outlineLevel="0" collapsed="false">
      <c r="A2" s="14" t="s">
        <v>20</v>
      </c>
    </row>
    <row r="4" customFormat="false" ht="15" hidden="false" customHeight="false" outlineLevel="0" collapsed="false">
      <c r="A4" s="3" t="s">
        <v>2</v>
      </c>
      <c r="B4" s="3" t="s">
        <v>21</v>
      </c>
      <c r="C4" s="3" t="s">
        <v>22</v>
      </c>
      <c r="D4" s="3" t="s">
        <v>23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24</v>
      </c>
    </row>
    <row r="5" customFormat="false" ht="15" hidden="false" customHeight="false" outlineLevel="0" collapsed="false">
      <c r="A5" s="16" t="s">
        <v>10</v>
      </c>
      <c r="B5" s="16" t="s">
        <v>25</v>
      </c>
      <c r="C5" s="16" t="s">
        <v>26</v>
      </c>
      <c r="D5" s="16" t="s">
        <v>27</v>
      </c>
      <c r="E5" s="17" t="n">
        <v>9</v>
      </c>
      <c r="F5" s="17" t="n">
        <v>18</v>
      </c>
      <c r="G5" s="17" t="n">
        <v>9</v>
      </c>
      <c r="H5" s="17" t="n">
        <v>0</v>
      </c>
      <c r="I5" s="18" t="n">
        <f aca="false">SUM(E5:H5)</f>
        <v>36</v>
      </c>
      <c r="J5" s="19" t="n">
        <f aca="false">I5*100000</f>
        <v>3600000</v>
      </c>
    </row>
    <row r="6" customFormat="false" ht="15" hidden="false" customHeight="false" outlineLevel="0" collapsed="false">
      <c r="A6" s="16" t="s">
        <v>10</v>
      </c>
      <c r="B6" s="16" t="s">
        <v>25</v>
      </c>
      <c r="C6" s="16" t="s">
        <v>28</v>
      </c>
      <c r="D6" s="16" t="s">
        <v>29</v>
      </c>
      <c r="E6" s="17" t="n">
        <v>1.5</v>
      </c>
      <c r="F6" s="17" t="n">
        <v>2.5</v>
      </c>
      <c r="G6" s="17" t="n">
        <v>2</v>
      </c>
      <c r="H6" s="17" t="n">
        <v>0</v>
      </c>
      <c r="I6" s="18" t="n">
        <f aca="false">SUM(E6:H6)</f>
        <v>6</v>
      </c>
      <c r="J6" s="19" t="n">
        <f aca="false">I6*100000</f>
        <v>600000</v>
      </c>
    </row>
    <row r="7" customFormat="false" ht="15" hidden="false" customHeight="false" outlineLevel="0" collapsed="false">
      <c r="A7" s="16" t="s">
        <v>10</v>
      </c>
      <c r="B7" s="16" t="s">
        <v>25</v>
      </c>
      <c r="C7" s="16" t="s">
        <v>30</v>
      </c>
      <c r="D7" s="16" t="s">
        <v>31</v>
      </c>
      <c r="E7" s="17" t="n">
        <v>3</v>
      </c>
      <c r="F7" s="17" t="n">
        <v>4</v>
      </c>
      <c r="G7" s="17" t="n">
        <v>3</v>
      </c>
      <c r="H7" s="17" t="n">
        <v>0</v>
      </c>
      <c r="I7" s="18" t="n">
        <f aca="false">SUM(E7:H7)</f>
        <v>10</v>
      </c>
      <c r="J7" s="19" t="n">
        <f aca="false">I7*100000</f>
        <v>1000000</v>
      </c>
    </row>
    <row r="8" customFormat="false" ht="15" hidden="false" customHeight="false" outlineLevel="0" collapsed="false">
      <c r="A8" s="16" t="s">
        <v>10</v>
      </c>
      <c r="B8" s="16" t="s">
        <v>25</v>
      </c>
      <c r="C8" s="16" t="s">
        <v>32</v>
      </c>
      <c r="D8" s="16" t="s">
        <v>33</v>
      </c>
      <c r="E8" s="17" t="n">
        <v>3</v>
      </c>
      <c r="F8" s="17" t="n">
        <v>5</v>
      </c>
      <c r="G8" s="17" t="n">
        <v>4</v>
      </c>
      <c r="H8" s="17" t="n">
        <v>0</v>
      </c>
      <c r="I8" s="18" t="n">
        <f aca="false">SUM(E8:H8)</f>
        <v>12</v>
      </c>
      <c r="J8" s="19" t="n">
        <f aca="false">I8*100000</f>
        <v>1200000</v>
      </c>
    </row>
    <row r="9" customFormat="false" ht="15" hidden="false" customHeight="false" outlineLevel="0" collapsed="false">
      <c r="A9" s="16" t="s">
        <v>10</v>
      </c>
      <c r="B9" s="16" t="s">
        <v>34</v>
      </c>
      <c r="C9" s="16" t="s">
        <v>35</v>
      </c>
      <c r="D9" s="16" t="s">
        <v>36</v>
      </c>
      <c r="E9" s="17" t="n">
        <v>8</v>
      </c>
      <c r="F9" s="17" t="n">
        <v>9</v>
      </c>
      <c r="G9" s="17" t="n">
        <v>8</v>
      </c>
      <c r="H9" s="17" t="n">
        <v>8</v>
      </c>
      <c r="I9" s="18" t="n">
        <f aca="false">SUM(E9:H9)</f>
        <v>33</v>
      </c>
      <c r="J9" s="19" t="n">
        <f aca="false">I9*100000</f>
        <v>3300000</v>
      </c>
    </row>
    <row r="10" customFormat="false" ht="15" hidden="false" customHeight="false" outlineLevel="0" collapsed="false">
      <c r="A10" s="16" t="s">
        <v>10</v>
      </c>
      <c r="B10" s="16" t="s">
        <v>37</v>
      </c>
      <c r="C10" s="16" t="s">
        <v>38</v>
      </c>
      <c r="D10" s="16" t="s">
        <v>39</v>
      </c>
      <c r="E10" s="17" t="n">
        <v>2</v>
      </c>
      <c r="F10" s="17" t="n">
        <v>1</v>
      </c>
      <c r="G10" s="17" t="n">
        <v>2</v>
      </c>
      <c r="H10" s="17" t="n">
        <v>1</v>
      </c>
      <c r="I10" s="18" t="n">
        <f aca="false">SUM(E10:H10)</f>
        <v>6</v>
      </c>
      <c r="J10" s="19" t="n">
        <f aca="false">I10*100000</f>
        <v>600000</v>
      </c>
    </row>
    <row r="11" customFormat="false" ht="15" hidden="false" customHeight="false" outlineLevel="0" collapsed="false">
      <c r="A11" s="16" t="s">
        <v>10</v>
      </c>
      <c r="B11" s="16" t="s">
        <v>37</v>
      </c>
      <c r="C11" s="16" t="s">
        <v>40</v>
      </c>
      <c r="D11" s="16" t="s">
        <v>41</v>
      </c>
      <c r="E11" s="17" t="n">
        <v>1.25</v>
      </c>
      <c r="F11" s="17" t="n">
        <v>1.25</v>
      </c>
      <c r="G11" s="17" t="n">
        <v>1.25</v>
      </c>
      <c r="H11" s="17" t="n">
        <v>1.25</v>
      </c>
      <c r="I11" s="18" t="n">
        <f aca="false">SUM(E11:H11)</f>
        <v>5</v>
      </c>
      <c r="J11" s="19" t="n">
        <f aca="false">I11*100000</f>
        <v>500000</v>
      </c>
    </row>
    <row r="12" customFormat="false" ht="15" hidden="false" customHeight="false" outlineLevel="0" collapsed="false">
      <c r="A12" s="16" t="s">
        <v>10</v>
      </c>
      <c r="B12" s="16" t="s">
        <v>37</v>
      </c>
      <c r="C12" s="16" t="s">
        <v>42</v>
      </c>
      <c r="D12" s="16" t="s">
        <v>43</v>
      </c>
      <c r="E12" s="17" t="n">
        <v>0</v>
      </c>
      <c r="F12" s="17" t="n">
        <v>2</v>
      </c>
      <c r="G12" s="17" t="n">
        <v>3</v>
      </c>
      <c r="H12" s="17" t="n">
        <v>3</v>
      </c>
      <c r="I12" s="18" t="n">
        <f aca="false">SUM(E12:H12)</f>
        <v>8</v>
      </c>
      <c r="J12" s="19" t="n">
        <f aca="false">I12*100000</f>
        <v>800000</v>
      </c>
    </row>
    <row r="13" customFormat="false" ht="15" hidden="false" customHeight="false" outlineLevel="0" collapsed="false">
      <c r="A13" s="16" t="s">
        <v>10</v>
      </c>
      <c r="B13" s="16" t="s">
        <v>44</v>
      </c>
      <c r="C13" s="16" t="s">
        <v>45</v>
      </c>
      <c r="D13" s="16" t="s">
        <v>46</v>
      </c>
      <c r="E13" s="17" t="n">
        <v>0</v>
      </c>
      <c r="F13" s="17" t="n">
        <v>0</v>
      </c>
      <c r="G13" s="17" t="n">
        <v>10</v>
      </c>
      <c r="H13" s="17" t="n">
        <v>20</v>
      </c>
      <c r="I13" s="18" t="n">
        <f aca="false">SUM(E13:H13)</f>
        <v>30</v>
      </c>
      <c r="J13" s="19" t="n">
        <f aca="false">I13*100000</f>
        <v>3000000</v>
      </c>
    </row>
    <row r="14" customFormat="false" ht="15" hidden="false" customHeight="false" outlineLevel="0" collapsed="false">
      <c r="A14" s="16" t="s">
        <v>10</v>
      </c>
      <c r="B14" s="16" t="s">
        <v>44</v>
      </c>
      <c r="C14" s="16" t="s">
        <v>47</v>
      </c>
      <c r="D14" s="16" t="s">
        <v>48</v>
      </c>
      <c r="E14" s="17" t="n">
        <v>3</v>
      </c>
      <c r="F14" s="17" t="n">
        <v>3</v>
      </c>
      <c r="G14" s="17" t="n">
        <v>2</v>
      </c>
      <c r="H14" s="17" t="n">
        <v>2</v>
      </c>
      <c r="I14" s="18" t="n">
        <f aca="false">SUM(E14:H14)</f>
        <v>10</v>
      </c>
      <c r="J14" s="19" t="n">
        <f aca="false">I14*100000</f>
        <v>1000000</v>
      </c>
    </row>
    <row r="15" customFormat="false" ht="15" hidden="false" customHeight="false" outlineLevel="0" collapsed="false">
      <c r="A15" s="16" t="s">
        <v>10</v>
      </c>
      <c r="B15" s="16" t="s">
        <v>44</v>
      </c>
      <c r="C15" s="16" t="s">
        <v>49</v>
      </c>
      <c r="D15" s="16" t="s">
        <v>50</v>
      </c>
      <c r="E15" s="17" t="n">
        <v>3</v>
      </c>
      <c r="F15" s="17" t="n">
        <v>4</v>
      </c>
      <c r="G15" s="17" t="n">
        <v>4</v>
      </c>
      <c r="H15" s="17" t="n">
        <v>4</v>
      </c>
      <c r="I15" s="18" t="n">
        <f aca="false">SUM(E15:H15)</f>
        <v>15</v>
      </c>
      <c r="J15" s="19" t="n">
        <f aca="false">I15*100000</f>
        <v>1500000</v>
      </c>
    </row>
    <row r="16" customFormat="false" ht="15" hidden="false" customHeight="false" outlineLevel="0" collapsed="false">
      <c r="A16" s="16" t="s">
        <v>10</v>
      </c>
      <c r="B16" s="16" t="s">
        <v>44</v>
      </c>
      <c r="C16" s="16" t="s">
        <v>51</v>
      </c>
      <c r="D16" s="16" t="s">
        <v>52</v>
      </c>
      <c r="E16" s="17" t="n">
        <v>2</v>
      </c>
      <c r="F16" s="17" t="n">
        <v>3</v>
      </c>
      <c r="G16" s="17" t="n">
        <v>2</v>
      </c>
      <c r="H16" s="17" t="n">
        <v>2</v>
      </c>
      <c r="I16" s="18" t="n">
        <f aca="false">SUM(E16:H16)</f>
        <v>9</v>
      </c>
      <c r="J16" s="19" t="n">
        <f aca="false">I16*100000</f>
        <v>900000</v>
      </c>
    </row>
    <row r="17" customFormat="false" ht="15" hidden="false" customHeight="false" outlineLevel="0" collapsed="false">
      <c r="A17" s="16" t="s">
        <v>10</v>
      </c>
      <c r="B17" s="16" t="s">
        <v>44</v>
      </c>
      <c r="C17" s="16" t="s">
        <v>53</v>
      </c>
      <c r="D17" s="16" t="s">
        <v>54</v>
      </c>
      <c r="E17" s="17" t="n">
        <v>2</v>
      </c>
      <c r="F17" s="17" t="n">
        <v>2</v>
      </c>
      <c r="G17" s="17" t="n">
        <v>1</v>
      </c>
      <c r="H17" s="17" t="n">
        <v>0</v>
      </c>
      <c r="I17" s="18" t="n">
        <f aca="false">SUM(E17:H17)</f>
        <v>5</v>
      </c>
      <c r="J17" s="19" t="n">
        <f aca="false">I17*100000</f>
        <v>500000</v>
      </c>
    </row>
    <row r="18" customFormat="false" ht="23.85" hidden="false" customHeight="false" outlineLevel="0" collapsed="false">
      <c r="A18" s="20" t="s">
        <v>11</v>
      </c>
      <c r="B18" s="20" t="s">
        <v>55</v>
      </c>
      <c r="C18" s="20" t="s">
        <v>56</v>
      </c>
      <c r="D18" s="20" t="s">
        <v>57</v>
      </c>
      <c r="E18" s="17" t="n">
        <v>10</v>
      </c>
      <c r="F18" s="17" t="n">
        <v>10</v>
      </c>
      <c r="G18" s="17" t="n">
        <v>10</v>
      </c>
      <c r="H18" s="17" t="n">
        <v>10</v>
      </c>
      <c r="I18" s="18" t="n">
        <f aca="false">SUM(E18:H18)</f>
        <v>40</v>
      </c>
      <c r="J18" s="19" t="n">
        <f aca="false">I18*100000</f>
        <v>4000000</v>
      </c>
    </row>
    <row r="19" customFormat="false" ht="35.05" hidden="false" customHeight="false" outlineLevel="0" collapsed="false">
      <c r="A19" s="20" t="s">
        <v>11</v>
      </c>
      <c r="B19" s="20" t="s">
        <v>55</v>
      </c>
      <c r="C19" s="20" t="s">
        <v>58</v>
      </c>
      <c r="D19" s="20" t="s">
        <v>59</v>
      </c>
      <c r="E19" s="17" t="n">
        <v>2</v>
      </c>
      <c r="F19" s="17" t="n">
        <v>6</v>
      </c>
      <c r="G19" s="17" t="n">
        <v>6</v>
      </c>
      <c r="H19" s="17" t="n">
        <v>6</v>
      </c>
      <c r="I19" s="18" t="n">
        <f aca="false">SUM(E19:H19)</f>
        <v>20</v>
      </c>
      <c r="J19" s="19" t="n">
        <f aca="false">I19*100000</f>
        <v>2000000</v>
      </c>
    </row>
    <row r="20" customFormat="false" ht="15" hidden="false" customHeight="false" outlineLevel="0" collapsed="false">
      <c r="A20" s="20" t="s">
        <v>11</v>
      </c>
      <c r="B20" s="20" t="s">
        <v>55</v>
      </c>
      <c r="C20" s="20" t="s">
        <v>60</v>
      </c>
      <c r="D20" s="20" t="s">
        <v>61</v>
      </c>
      <c r="E20" s="17" t="n">
        <v>3</v>
      </c>
      <c r="F20" s="17" t="n">
        <v>3</v>
      </c>
      <c r="G20" s="17" t="n">
        <v>3</v>
      </c>
      <c r="H20" s="17" t="n">
        <v>3</v>
      </c>
      <c r="I20" s="18" t="n">
        <f aca="false">SUM(E20:H20)</f>
        <v>12</v>
      </c>
      <c r="J20" s="19" t="n">
        <f aca="false">I20*100000</f>
        <v>1200000</v>
      </c>
    </row>
    <row r="21" customFormat="false" ht="23.85" hidden="false" customHeight="false" outlineLevel="0" collapsed="false">
      <c r="A21" s="20" t="s">
        <v>11</v>
      </c>
      <c r="B21" s="20" t="s">
        <v>55</v>
      </c>
      <c r="C21" s="20" t="s">
        <v>62</v>
      </c>
      <c r="D21" s="20" t="s">
        <v>63</v>
      </c>
      <c r="E21" s="17" t="n">
        <v>1</v>
      </c>
      <c r="F21" s="17" t="n">
        <v>2</v>
      </c>
      <c r="G21" s="17" t="n">
        <v>2.5</v>
      </c>
      <c r="H21" s="17" t="n">
        <v>2.5</v>
      </c>
      <c r="I21" s="18" t="n">
        <f aca="false">SUM(E21:H21)</f>
        <v>8</v>
      </c>
      <c r="J21" s="19" t="n">
        <f aca="false">I21*100000</f>
        <v>800000</v>
      </c>
    </row>
    <row r="22" customFormat="false" ht="35.05" hidden="false" customHeight="false" outlineLevel="0" collapsed="false">
      <c r="A22" s="20" t="s">
        <v>11</v>
      </c>
      <c r="B22" s="20" t="s">
        <v>64</v>
      </c>
      <c r="C22" s="20" t="s">
        <v>65</v>
      </c>
      <c r="D22" s="20" t="s">
        <v>66</v>
      </c>
      <c r="E22" s="17" t="n">
        <v>3</v>
      </c>
      <c r="F22" s="17" t="n">
        <v>3</v>
      </c>
      <c r="G22" s="17" t="n">
        <v>3</v>
      </c>
      <c r="H22" s="17" t="n">
        <v>3</v>
      </c>
      <c r="I22" s="18" t="n">
        <f aca="false">SUM(E22:H22)</f>
        <v>12</v>
      </c>
      <c r="J22" s="19" t="n">
        <f aca="false">I22*100000</f>
        <v>1200000</v>
      </c>
    </row>
    <row r="23" customFormat="false" ht="23.85" hidden="false" customHeight="false" outlineLevel="0" collapsed="false">
      <c r="A23" s="20" t="s">
        <v>11</v>
      </c>
      <c r="B23" s="20" t="s">
        <v>64</v>
      </c>
      <c r="C23" s="20" t="s">
        <v>67</v>
      </c>
      <c r="D23" s="20" t="s">
        <v>68</v>
      </c>
      <c r="E23" s="17" t="n">
        <v>2</v>
      </c>
      <c r="F23" s="17" t="n">
        <v>2</v>
      </c>
      <c r="G23" s="17" t="n">
        <v>2</v>
      </c>
      <c r="H23" s="17" t="n">
        <v>2</v>
      </c>
      <c r="I23" s="18" t="n">
        <f aca="false">SUM(E23:H23)</f>
        <v>8</v>
      </c>
      <c r="J23" s="19" t="n">
        <f aca="false">I23*100000</f>
        <v>800000</v>
      </c>
    </row>
    <row r="24" customFormat="false" ht="23.85" hidden="false" customHeight="false" outlineLevel="0" collapsed="false">
      <c r="A24" s="16" t="s">
        <v>12</v>
      </c>
      <c r="B24" s="16" t="s">
        <v>34</v>
      </c>
      <c r="C24" s="16" t="s">
        <v>69</v>
      </c>
      <c r="D24" s="16" t="s">
        <v>70</v>
      </c>
      <c r="E24" s="17" t="n">
        <v>7.5</v>
      </c>
      <c r="F24" s="17" t="n">
        <v>7.5</v>
      </c>
      <c r="G24" s="17" t="n">
        <v>7.5</v>
      </c>
      <c r="H24" s="17" t="n">
        <v>7.5</v>
      </c>
      <c r="I24" s="18" t="n">
        <f aca="false">SUM(E24:H24)</f>
        <v>30</v>
      </c>
      <c r="J24" s="19" t="n">
        <f aca="false">I24*100000</f>
        <v>3000000</v>
      </c>
    </row>
    <row r="25" customFormat="false" ht="23.85" hidden="false" customHeight="false" outlineLevel="0" collapsed="false">
      <c r="A25" s="16" t="s">
        <v>12</v>
      </c>
      <c r="B25" s="16" t="s">
        <v>71</v>
      </c>
      <c r="C25" s="16" t="s">
        <v>72</v>
      </c>
      <c r="D25" s="16" t="s">
        <v>73</v>
      </c>
      <c r="E25" s="17" t="n">
        <v>2</v>
      </c>
      <c r="F25" s="17" t="n">
        <v>2</v>
      </c>
      <c r="G25" s="17" t="n">
        <v>2</v>
      </c>
      <c r="H25" s="17" t="n">
        <v>2</v>
      </c>
      <c r="I25" s="18" t="n">
        <f aca="false">SUM(E25:H25)</f>
        <v>8</v>
      </c>
      <c r="J25" s="19" t="n">
        <f aca="false">I25*100000</f>
        <v>800000</v>
      </c>
    </row>
    <row r="26" customFormat="false" ht="23.85" hidden="false" customHeight="false" outlineLevel="0" collapsed="false">
      <c r="A26" s="16" t="s">
        <v>12</v>
      </c>
      <c r="B26" s="16" t="s">
        <v>71</v>
      </c>
      <c r="C26" s="16" t="s">
        <v>74</v>
      </c>
      <c r="D26" s="16" t="s">
        <v>75</v>
      </c>
      <c r="E26" s="17" t="n">
        <v>2</v>
      </c>
      <c r="F26" s="17" t="n">
        <v>1</v>
      </c>
      <c r="G26" s="17" t="n">
        <v>0.5</v>
      </c>
      <c r="H26" s="17" t="n">
        <v>0.5</v>
      </c>
      <c r="I26" s="18" t="n">
        <f aca="false">SUM(E26:H26)</f>
        <v>4</v>
      </c>
      <c r="J26" s="19" t="n">
        <f aca="false">I26*100000</f>
        <v>400000</v>
      </c>
    </row>
    <row r="27" customFormat="false" ht="15" hidden="false" customHeight="false" outlineLevel="0" collapsed="false">
      <c r="A27" s="16" t="s">
        <v>12</v>
      </c>
      <c r="B27" s="16" t="s">
        <v>76</v>
      </c>
      <c r="C27" s="16" t="s">
        <v>77</v>
      </c>
      <c r="D27" s="16" t="s">
        <v>78</v>
      </c>
      <c r="E27" s="17" t="n">
        <v>1.5</v>
      </c>
      <c r="F27" s="17" t="n">
        <v>1.5</v>
      </c>
      <c r="G27" s="17" t="n">
        <v>1.5</v>
      </c>
      <c r="H27" s="17" t="n">
        <v>1.5</v>
      </c>
      <c r="I27" s="18" t="n">
        <f aca="false">SUM(E27:H27)</f>
        <v>6</v>
      </c>
      <c r="J27" s="19" t="n">
        <f aca="false">I27*100000</f>
        <v>600000</v>
      </c>
    </row>
    <row r="28" customFormat="false" ht="23.85" hidden="false" customHeight="false" outlineLevel="0" collapsed="false">
      <c r="A28" s="16" t="s">
        <v>12</v>
      </c>
      <c r="B28" s="16" t="s">
        <v>79</v>
      </c>
      <c r="C28" s="16" t="s">
        <v>80</v>
      </c>
      <c r="D28" s="16" t="s">
        <v>81</v>
      </c>
      <c r="E28" s="17" t="n">
        <v>2</v>
      </c>
      <c r="F28" s="17" t="n">
        <v>3</v>
      </c>
      <c r="G28" s="17" t="n">
        <v>1</v>
      </c>
      <c r="H28" s="17" t="n">
        <v>1</v>
      </c>
      <c r="I28" s="18" t="n">
        <f aca="false">SUM(E28:H28)</f>
        <v>7</v>
      </c>
      <c r="J28" s="19" t="n">
        <f aca="false">I28*100000</f>
        <v>700000</v>
      </c>
    </row>
    <row r="29" customFormat="false" ht="15" hidden="false" customHeight="false" outlineLevel="0" collapsed="false">
      <c r="A29" s="16" t="s">
        <v>12</v>
      </c>
      <c r="B29" s="16" t="s">
        <v>76</v>
      </c>
      <c r="C29" s="16" t="s">
        <v>82</v>
      </c>
      <c r="D29" s="16" t="s">
        <v>83</v>
      </c>
      <c r="E29" s="17" t="n">
        <v>0.5</v>
      </c>
      <c r="F29" s="17" t="n">
        <v>1</v>
      </c>
      <c r="G29" s="17" t="n">
        <v>1.5</v>
      </c>
      <c r="H29" s="17" t="n">
        <v>2</v>
      </c>
      <c r="I29" s="18" t="n">
        <f aca="false">SUM(E29:H29)</f>
        <v>5</v>
      </c>
      <c r="J29" s="19" t="n">
        <f aca="false">I29*100000</f>
        <v>500000</v>
      </c>
    </row>
    <row r="30" customFormat="false" ht="23.85" hidden="false" customHeight="false" outlineLevel="0" collapsed="false">
      <c r="A30" s="20" t="s">
        <v>15</v>
      </c>
      <c r="B30" s="20" t="s">
        <v>84</v>
      </c>
      <c r="C30" s="20" t="s">
        <v>85</v>
      </c>
      <c r="D30" s="20" t="s">
        <v>86</v>
      </c>
      <c r="E30" s="17" t="n">
        <v>0</v>
      </c>
      <c r="F30" s="17" t="n">
        <v>2</v>
      </c>
      <c r="G30" s="17" t="n">
        <v>4</v>
      </c>
      <c r="H30" s="17" t="n">
        <v>4</v>
      </c>
      <c r="I30" s="18" t="n">
        <f aca="false">SUM(E30:H30)</f>
        <v>10</v>
      </c>
      <c r="J30" s="19" t="n">
        <f aca="false">I30*100000</f>
        <v>1000000</v>
      </c>
    </row>
    <row r="31" customFormat="false" ht="23.85" hidden="false" customHeight="false" outlineLevel="0" collapsed="false">
      <c r="A31" s="20" t="s">
        <v>15</v>
      </c>
      <c r="B31" s="20" t="s">
        <v>87</v>
      </c>
      <c r="C31" s="20" t="s">
        <v>88</v>
      </c>
      <c r="D31" s="20" t="s">
        <v>89</v>
      </c>
      <c r="E31" s="17" t="n">
        <v>0</v>
      </c>
      <c r="F31" s="17" t="n">
        <v>2</v>
      </c>
      <c r="G31" s="17" t="n">
        <v>4</v>
      </c>
      <c r="H31" s="17" t="n">
        <v>4</v>
      </c>
      <c r="I31" s="18" t="n">
        <f aca="false">SUM(E31:H31)</f>
        <v>10</v>
      </c>
      <c r="J31" s="19" t="n">
        <f aca="false">I31*100000</f>
        <v>1000000</v>
      </c>
    </row>
    <row r="32" customFormat="false" ht="15" hidden="false" customHeight="false" outlineLevel="0" collapsed="false">
      <c r="A32" s="16" t="s">
        <v>13</v>
      </c>
      <c r="B32" s="16" t="s">
        <v>90</v>
      </c>
      <c r="C32" s="16" t="s">
        <v>91</v>
      </c>
      <c r="D32" s="16" t="s">
        <v>92</v>
      </c>
      <c r="E32" s="17" t="n">
        <v>2</v>
      </c>
      <c r="F32" s="17" t="n">
        <v>5</v>
      </c>
      <c r="G32" s="17" t="n">
        <v>6</v>
      </c>
      <c r="H32" s="17" t="n">
        <v>5</v>
      </c>
      <c r="I32" s="18" t="n">
        <f aca="false">SUM(E32:H32)</f>
        <v>18</v>
      </c>
      <c r="J32" s="19" t="n">
        <f aca="false">I32*100000</f>
        <v>1800000</v>
      </c>
    </row>
    <row r="33" customFormat="false" ht="15" hidden="false" customHeight="false" outlineLevel="0" collapsed="false">
      <c r="A33" s="16" t="s">
        <v>13</v>
      </c>
      <c r="B33" s="16" t="s">
        <v>90</v>
      </c>
      <c r="C33" s="16" t="s">
        <v>93</v>
      </c>
      <c r="D33" s="16" t="s">
        <v>94</v>
      </c>
      <c r="E33" s="17" t="n">
        <v>1</v>
      </c>
      <c r="F33" s="17" t="n">
        <v>4</v>
      </c>
      <c r="G33" s="17" t="n">
        <v>5</v>
      </c>
      <c r="H33" s="17" t="n">
        <v>4</v>
      </c>
      <c r="I33" s="18" t="n">
        <f aca="false">SUM(E33:H33)</f>
        <v>14</v>
      </c>
      <c r="J33" s="19" t="n">
        <f aca="false">I33*100000</f>
        <v>1400000</v>
      </c>
    </row>
    <row r="34" customFormat="false" ht="15" hidden="false" customHeight="false" outlineLevel="0" collapsed="false">
      <c r="A34" s="16" t="s">
        <v>13</v>
      </c>
      <c r="B34" s="16" t="s">
        <v>90</v>
      </c>
      <c r="C34" s="16" t="s">
        <v>95</v>
      </c>
      <c r="D34" s="16" t="s">
        <v>96</v>
      </c>
      <c r="E34" s="17" t="n">
        <v>0</v>
      </c>
      <c r="F34" s="17" t="n">
        <v>3</v>
      </c>
      <c r="G34" s="17" t="n">
        <v>5</v>
      </c>
      <c r="H34" s="17" t="n">
        <v>4</v>
      </c>
      <c r="I34" s="18" t="n">
        <f aca="false">SUM(E34:H34)</f>
        <v>12</v>
      </c>
      <c r="J34" s="19" t="n">
        <f aca="false">I34*100000</f>
        <v>1200000</v>
      </c>
    </row>
    <row r="35" customFormat="false" ht="15" hidden="false" customHeight="false" outlineLevel="0" collapsed="false">
      <c r="A35" s="16" t="s">
        <v>13</v>
      </c>
      <c r="B35" s="16" t="s">
        <v>90</v>
      </c>
      <c r="C35" s="16" t="s">
        <v>97</v>
      </c>
      <c r="D35" s="16" t="s">
        <v>98</v>
      </c>
      <c r="E35" s="17" t="n">
        <v>1</v>
      </c>
      <c r="F35" s="17" t="n">
        <v>2</v>
      </c>
      <c r="G35" s="17" t="n">
        <v>3</v>
      </c>
      <c r="H35" s="17" t="n">
        <v>2</v>
      </c>
      <c r="I35" s="18" t="n">
        <f aca="false">SUM(E35:H35)</f>
        <v>8</v>
      </c>
      <c r="J35" s="19" t="n">
        <f aca="false">I35*100000</f>
        <v>800000</v>
      </c>
    </row>
    <row r="36" customFormat="false" ht="15" hidden="false" customHeight="false" outlineLevel="0" collapsed="false">
      <c r="A36" s="16" t="s">
        <v>13</v>
      </c>
      <c r="B36" s="16" t="s">
        <v>90</v>
      </c>
      <c r="C36" s="16" t="s">
        <v>99</v>
      </c>
      <c r="D36" s="16" t="s">
        <v>100</v>
      </c>
      <c r="E36" s="17" t="n">
        <v>2</v>
      </c>
      <c r="F36" s="17" t="n">
        <v>2</v>
      </c>
      <c r="G36" s="17" t="n">
        <v>2</v>
      </c>
      <c r="H36" s="17" t="n">
        <v>2</v>
      </c>
      <c r="I36" s="18" t="n">
        <f aca="false">SUM(E36:H36)</f>
        <v>8</v>
      </c>
      <c r="J36" s="19" t="n">
        <f aca="false">I36*100000</f>
        <v>800000</v>
      </c>
    </row>
    <row r="37" customFormat="false" ht="15" hidden="false" customHeight="false" outlineLevel="0" collapsed="false">
      <c r="A37" s="20" t="s">
        <v>14</v>
      </c>
      <c r="B37" s="20" t="s">
        <v>101</v>
      </c>
      <c r="C37" s="20" t="s">
        <v>102</v>
      </c>
      <c r="D37" s="20" t="s">
        <v>103</v>
      </c>
      <c r="E37" s="17" t="n">
        <v>19.5</v>
      </c>
      <c r="F37" s="17" t="n">
        <v>19.5</v>
      </c>
      <c r="G37" s="17" t="n">
        <v>19.5</v>
      </c>
      <c r="H37" s="17" t="n">
        <v>19.5</v>
      </c>
      <c r="I37" s="18" t="n">
        <f aca="false">SUM(E37:H37)</f>
        <v>78</v>
      </c>
      <c r="J37" s="19" t="n">
        <f aca="false">I37*100000</f>
        <v>7800000</v>
      </c>
    </row>
    <row r="38" customFormat="false" ht="15" hidden="false" customHeight="false" outlineLevel="0" collapsed="false">
      <c r="A38" s="20" t="s">
        <v>14</v>
      </c>
      <c r="B38" s="20" t="s">
        <v>104</v>
      </c>
      <c r="C38" s="20" t="s">
        <v>105</v>
      </c>
      <c r="D38" s="20" t="s">
        <v>106</v>
      </c>
      <c r="E38" s="17" t="n">
        <v>10.5</v>
      </c>
      <c r="F38" s="17" t="n">
        <v>10.5</v>
      </c>
      <c r="G38" s="17" t="n">
        <v>10.5</v>
      </c>
      <c r="H38" s="17" t="n">
        <v>10.5</v>
      </c>
      <c r="I38" s="18" t="n">
        <f aca="false">SUM(E38:H38)</f>
        <v>42</v>
      </c>
      <c r="J38" s="19" t="n">
        <f aca="false">I38*100000</f>
        <v>4200000</v>
      </c>
    </row>
    <row r="39" customFormat="false" ht="15" hidden="false" customHeight="false" outlineLevel="0" collapsed="false">
      <c r="A39" s="20" t="s">
        <v>14</v>
      </c>
      <c r="B39" s="20" t="s">
        <v>107</v>
      </c>
      <c r="C39" s="20" t="s">
        <v>108</v>
      </c>
      <c r="D39" s="20" t="s">
        <v>109</v>
      </c>
      <c r="E39" s="17" t="n">
        <v>3.5</v>
      </c>
      <c r="F39" s="17" t="n">
        <v>3.5</v>
      </c>
      <c r="G39" s="17" t="n">
        <v>3.5</v>
      </c>
      <c r="H39" s="17" t="n">
        <v>3.5</v>
      </c>
      <c r="I39" s="18" t="n">
        <f aca="false">SUM(E39:H39)</f>
        <v>14</v>
      </c>
      <c r="J39" s="19" t="n">
        <f aca="false">I39*100000</f>
        <v>1400000</v>
      </c>
    </row>
    <row r="40" customFormat="false" ht="15" hidden="false" customHeight="false" outlineLevel="0" collapsed="false">
      <c r="A40" s="20" t="s">
        <v>14</v>
      </c>
      <c r="B40" s="20" t="s">
        <v>110</v>
      </c>
      <c r="C40" s="20" t="s">
        <v>111</v>
      </c>
      <c r="D40" s="20" t="s">
        <v>112</v>
      </c>
      <c r="E40" s="17" t="n">
        <v>0.5</v>
      </c>
      <c r="F40" s="17" t="n">
        <v>1.5</v>
      </c>
      <c r="G40" s="17" t="n">
        <v>1.5</v>
      </c>
      <c r="H40" s="17" t="n">
        <v>2.5</v>
      </c>
      <c r="I40" s="18" t="n">
        <f aca="false">SUM(E40:H40)</f>
        <v>6</v>
      </c>
      <c r="J40" s="19" t="n">
        <f aca="false">I40*100000</f>
        <v>600000</v>
      </c>
    </row>
    <row r="41" customFormat="false" ht="15" hidden="false" customHeight="false" outlineLevel="0" collapsed="false">
      <c r="A41" s="20" t="s">
        <v>14</v>
      </c>
      <c r="B41" s="20" t="s">
        <v>113</v>
      </c>
      <c r="C41" s="20" t="s">
        <v>114</v>
      </c>
      <c r="D41" s="20" t="s">
        <v>115</v>
      </c>
      <c r="E41" s="17" t="n">
        <v>1</v>
      </c>
      <c r="F41" s="17" t="n">
        <v>2</v>
      </c>
      <c r="G41" s="17" t="n">
        <v>2</v>
      </c>
      <c r="H41" s="17" t="n">
        <v>2</v>
      </c>
      <c r="I41" s="18" t="n">
        <f aca="false">SUM(E41:H41)</f>
        <v>7</v>
      </c>
      <c r="J41" s="19" t="n">
        <f aca="false">I41*100000</f>
        <v>700000</v>
      </c>
    </row>
    <row r="42" customFormat="false" ht="15" hidden="false" customHeight="false" outlineLevel="0" collapsed="false">
      <c r="A42" s="20" t="s">
        <v>14</v>
      </c>
      <c r="B42" s="20" t="s">
        <v>113</v>
      </c>
      <c r="C42" s="20" t="s">
        <v>116</v>
      </c>
      <c r="D42" s="20" t="s">
        <v>117</v>
      </c>
      <c r="E42" s="17" t="n">
        <v>1</v>
      </c>
      <c r="F42" s="17" t="n">
        <v>1</v>
      </c>
      <c r="G42" s="17" t="n">
        <v>0.5</v>
      </c>
      <c r="H42" s="17" t="n">
        <v>0.5</v>
      </c>
      <c r="I42" s="18" t="n">
        <f aca="false">SUM(E42:H42)</f>
        <v>3</v>
      </c>
      <c r="J42" s="19" t="n">
        <f aca="false">I42*100000</f>
        <v>300000</v>
      </c>
    </row>
    <row r="43" customFormat="false" ht="15" hidden="false" customHeight="false" outlineLevel="0" collapsed="false">
      <c r="A43" s="20" t="s">
        <v>14</v>
      </c>
      <c r="B43" s="20" t="s">
        <v>113</v>
      </c>
      <c r="C43" s="20" t="s">
        <v>118</v>
      </c>
      <c r="D43" s="20" t="s">
        <v>119</v>
      </c>
      <c r="E43" s="17" t="n">
        <v>0.25</v>
      </c>
      <c r="F43" s="17" t="n">
        <v>0.25</v>
      </c>
      <c r="G43" s="17" t="n">
        <v>0.25</v>
      </c>
      <c r="H43" s="17" t="n">
        <v>0.25</v>
      </c>
      <c r="I43" s="18" t="n">
        <f aca="false">SUM(E43:H43)</f>
        <v>1</v>
      </c>
      <c r="J43" s="19" t="n">
        <f aca="false">I43*100000</f>
        <v>100000</v>
      </c>
    </row>
    <row r="44" customFormat="false" ht="15" hidden="false" customHeight="false" outlineLevel="0" collapsed="false">
      <c r="A44" s="16" t="s">
        <v>16</v>
      </c>
      <c r="B44" s="16" t="s">
        <v>16</v>
      </c>
      <c r="C44" s="16" t="s">
        <v>120</v>
      </c>
      <c r="D44" s="16" t="s">
        <v>121</v>
      </c>
      <c r="E44" s="17" t="n">
        <v>6</v>
      </c>
      <c r="F44" s="17" t="n">
        <v>6</v>
      </c>
      <c r="G44" s="17" t="n">
        <v>6</v>
      </c>
      <c r="H44" s="17" t="n">
        <v>6</v>
      </c>
      <c r="I44" s="18" t="n">
        <f aca="false">SUM(E44:H44)</f>
        <v>24</v>
      </c>
      <c r="J44" s="19" t="n">
        <f aca="false">I44*100000</f>
        <v>2400000</v>
      </c>
    </row>
    <row r="45" customFormat="false" ht="15" hidden="false" customHeight="false" outlineLevel="0" collapsed="false">
      <c r="A45" s="10" t="s">
        <v>122</v>
      </c>
      <c r="B45" s="10"/>
      <c r="C45" s="10"/>
      <c r="D45" s="10"/>
      <c r="E45" s="11" t="n">
        <f aca="false">SUM(E5:E44)</f>
        <v>122.5</v>
      </c>
      <c r="F45" s="11" t="n">
        <f aca="false">SUM(F5:F44)</f>
        <v>161</v>
      </c>
      <c r="G45" s="11" t="n">
        <f aca="false">SUM(G5:G44)</f>
        <v>164.5</v>
      </c>
      <c r="H45" s="11" t="n">
        <f aca="false">SUM(H5:H44)</f>
        <v>152</v>
      </c>
      <c r="I45" s="11" t="n">
        <f aca="false">SUM(I5:I44)</f>
        <v>600</v>
      </c>
      <c r="J45" s="21" t="n">
        <f aca="false">SUM(J5:J44)</f>
        <v>60000000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22" t="s">
        <v>123</v>
      </c>
    </row>
    <row r="2" customFormat="false" ht="15" hidden="false" customHeight="false" outlineLevel="0" collapsed="false">
      <c r="A2" s="23" t="s">
        <v>124</v>
      </c>
      <c r="B2" s="24" t="s">
        <v>125</v>
      </c>
    </row>
    <row r="3" customFormat="false" ht="15" hidden="false" customHeight="false" outlineLevel="0" collapsed="false">
      <c r="A3" s="23" t="s">
        <v>126</v>
      </c>
      <c r="B3" s="24" t="s">
        <v>127</v>
      </c>
    </row>
    <row r="4" customFormat="false" ht="15" hidden="false" customHeight="false" outlineLevel="0" collapsed="false">
      <c r="A4" s="23" t="s">
        <v>128</v>
      </c>
      <c r="B4" s="24" t="s">
        <v>129</v>
      </c>
    </row>
    <row r="5" customFormat="false" ht="15" hidden="false" customHeight="false" outlineLevel="0" collapsed="false">
      <c r="A5" s="23"/>
      <c r="B5" s="24"/>
    </row>
    <row r="6" customFormat="false" ht="15" hidden="false" customHeight="false" outlineLevel="0" collapsed="false">
      <c r="A6" s="22" t="s">
        <v>130</v>
      </c>
    </row>
    <row r="7" customFormat="false" ht="23.85" hidden="false" customHeight="false" outlineLevel="0" collapsed="false">
      <c r="A7" s="23" t="s">
        <v>131</v>
      </c>
      <c r="B7" s="24" t="s">
        <v>132</v>
      </c>
    </row>
    <row r="8" customFormat="false" ht="35.05" hidden="false" customHeight="false" outlineLevel="0" collapsed="false">
      <c r="A8" s="23" t="s">
        <v>133</v>
      </c>
      <c r="B8" s="24" t="s">
        <v>134</v>
      </c>
    </row>
    <row r="9" customFormat="false" ht="15" hidden="false" customHeight="false" outlineLevel="0" collapsed="false">
      <c r="A9" s="23" t="s">
        <v>135</v>
      </c>
      <c r="B9" s="24" t="s">
        <v>136</v>
      </c>
    </row>
    <row r="10" customFormat="false" ht="23.85" hidden="false" customHeight="false" outlineLevel="0" collapsed="false">
      <c r="A10" s="23" t="s">
        <v>15</v>
      </c>
      <c r="B10" s="24" t="s">
        <v>137</v>
      </c>
    </row>
    <row r="11" customFormat="false" ht="23.85" hidden="false" customHeight="false" outlineLevel="0" collapsed="false">
      <c r="A11" s="23" t="s">
        <v>138</v>
      </c>
      <c r="B11" s="24" t="s">
        <v>139</v>
      </c>
    </row>
    <row r="12" customFormat="false" ht="15" hidden="false" customHeight="false" outlineLevel="0" collapsed="false">
      <c r="A12" s="23" t="s">
        <v>14</v>
      </c>
      <c r="B12" s="24" t="s">
        <v>140</v>
      </c>
    </row>
    <row r="13" customFormat="false" ht="15" hidden="false" customHeight="false" outlineLevel="0" collapsed="false">
      <c r="A13" s="23" t="s">
        <v>16</v>
      </c>
      <c r="B13" s="24" t="s">
        <v>141</v>
      </c>
    </row>
    <row r="14" customFormat="false" ht="15" hidden="false" customHeight="false" outlineLevel="0" collapsed="false">
      <c r="A14" s="23"/>
      <c r="B14" s="24"/>
    </row>
    <row r="15" customFormat="false" ht="15" hidden="false" customHeight="false" outlineLevel="0" collapsed="false">
      <c r="A15" s="22" t="s">
        <v>142</v>
      </c>
    </row>
    <row r="16" customFormat="false" ht="15" hidden="false" customHeight="false" outlineLevel="0" collapsed="false">
      <c r="A16" s="23" t="s">
        <v>143</v>
      </c>
      <c r="B16" s="24" t="s">
        <v>144</v>
      </c>
    </row>
    <row r="17" customFormat="false" ht="15" hidden="false" customHeight="false" outlineLevel="0" collapsed="false">
      <c r="A17" s="23" t="s">
        <v>145</v>
      </c>
      <c r="B17" s="24" t="s">
        <v>146</v>
      </c>
    </row>
    <row r="18" customFormat="false" ht="15" hidden="false" customHeight="false" outlineLevel="0" collapsed="false">
      <c r="A18" s="23" t="s">
        <v>147</v>
      </c>
      <c r="B18" s="24" t="s">
        <v>148</v>
      </c>
    </row>
    <row r="19" customFormat="false" ht="15" hidden="false" customHeight="false" outlineLevel="0" collapsed="false">
      <c r="A19" s="23" t="s">
        <v>149</v>
      </c>
      <c r="B19" s="24" t="s">
        <v>150</v>
      </c>
    </row>
    <row r="20" customFormat="false" ht="15" hidden="false" customHeight="false" outlineLevel="0" collapsed="false">
      <c r="A20" s="23"/>
      <c r="B20" s="24"/>
    </row>
    <row r="21" customFormat="false" ht="15" hidden="false" customHeight="false" outlineLevel="0" collapsed="false">
      <c r="A21" s="22" t="s">
        <v>151</v>
      </c>
    </row>
    <row r="22" customFormat="false" ht="15" hidden="false" customHeight="false" outlineLevel="0" collapsed="false">
      <c r="A22" s="23" t="s">
        <v>143</v>
      </c>
      <c r="B22" s="24" t="s">
        <v>152</v>
      </c>
    </row>
    <row r="23" customFormat="false" ht="15" hidden="false" customHeight="false" outlineLevel="0" collapsed="false">
      <c r="A23" s="23" t="s">
        <v>145</v>
      </c>
      <c r="B23" s="24" t="s">
        <v>153</v>
      </c>
    </row>
    <row r="24" customFormat="false" ht="15" hidden="false" customHeight="false" outlineLevel="0" collapsed="false">
      <c r="A24" s="23" t="s">
        <v>147</v>
      </c>
      <c r="B24" s="24" t="s">
        <v>154</v>
      </c>
    </row>
    <row r="25" customFormat="false" ht="15" hidden="false" customHeight="false" outlineLevel="0" collapsed="false">
      <c r="A25" s="23" t="s">
        <v>149</v>
      </c>
      <c r="B25" s="24" t="s">
        <v>155</v>
      </c>
    </row>
    <row r="26" customFormat="false" ht="15" hidden="false" customHeight="false" outlineLevel="0" collapsed="false">
      <c r="A26" s="23" t="s">
        <v>156</v>
      </c>
      <c r="B26" s="24" t="s">
        <v>157</v>
      </c>
    </row>
    <row r="27" customFormat="false" ht="15" hidden="false" customHeight="false" outlineLevel="0" collapsed="false">
      <c r="A27" s="23" t="s">
        <v>158</v>
      </c>
      <c r="B27" s="24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2026-07-29T09:41:52Z</dcterms:created>
  <dc:creator>openpyxl</dc:creator>
  <dc:description/>
  <dc:language>en-US</dc:language>
  <cp:lastModifiedBy/>
  <dcterms:modified xsi:type="dcterms:W3CDTF">2026-07-29T09:41:52Z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