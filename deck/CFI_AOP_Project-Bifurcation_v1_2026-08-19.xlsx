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By Project" sheetId="2" state="visible" r:id="rId2"/>
    <sheet xmlns:r="http://schemas.openxmlformats.org/officeDocument/2006/relationships" name="Project x Vertical" sheetId="3" state="visible" r:id="rId3"/>
    <sheet xmlns:r="http://schemas.openxmlformats.org/officeDocument/2006/relationships" name="By Vertical (tie-out)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₹&quot;#,##0"/>
    <numFmt numFmtId="165" formatCode="0.0"/>
    <numFmt numFmtId="166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A1C1C"/>
      <sz val="10"/>
    </font>
    <font>
      <name val="Calibri"/>
      <color rgb="00777589"/>
      <sz val="9"/>
    </font>
    <font>
      <name val="Calibri"/>
      <b val="1"/>
      <color rgb="001A1C1C"/>
      <sz val="1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1A1C1C"/>
      <sz val="9"/>
    </font>
    <font>
      <name val="Calibri"/>
      <b val="1"/>
      <color rgb="001A1C1C"/>
      <sz val="9"/>
    </font>
    <font>
      <name val="Calibri"/>
      <b val="1"/>
      <color rgb="004A35FF"/>
      <sz val="13"/>
    </font>
    <font>
      <name val="Calibri"/>
      <color rgb="00FFFFFF"/>
      <sz val="10"/>
    </font>
    <font>
      <name val="Calibri"/>
      <b val="1"/>
      <color rgb="00E58900"/>
      <sz val="11"/>
    </font>
  </fonts>
  <fills count="8">
    <fill>
      <patternFill/>
    </fill>
    <fill>
      <patternFill patternType="gray125"/>
    </fill>
    <fill>
      <patternFill patternType="solid">
        <fgColor rgb="004A35FF"/>
      </patternFill>
    </fill>
    <fill>
      <patternFill patternType="solid">
        <fgColor rgb="001A1C1C"/>
      </patternFill>
    </fill>
    <fill>
      <patternFill patternType="solid">
        <fgColor rgb="00FFFFFF"/>
      </patternFill>
    </fill>
    <fill>
      <patternFill patternType="solid">
        <fgColor rgb="00FAFAFB"/>
      </patternFill>
    </fill>
    <fill>
      <patternFill patternType="solid">
        <fgColor rgb="00F3F1FF"/>
      </patternFill>
    </fill>
    <fill>
      <patternFill patternType="solid">
        <fgColor rgb="00EDEEF2"/>
      </patternFill>
    </fill>
  </fills>
  <borders count="2">
    <border>
      <left/>
      <right/>
      <top/>
      <bottom/>
      <diagonal/>
    </border>
    <border>
      <left style="thin">
        <color rgb="00D8DAE5"/>
      </left>
      <right style="thin">
        <color rgb="00D8DAE5"/>
      </right>
      <top style="thin">
        <color rgb="00D8DAE5"/>
      </top>
      <bottom style="thin">
        <color rgb="00D8DAE5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166" fontId="3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166" fontId="3" fillId="5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15" customWidth="1" min="3" max="3"/>
    <col width="9" customWidth="1" min="4" max="4"/>
    <col width="26" customWidth="1" min="5" max="5"/>
    <col width="42" customWidth="1" min="6" max="6"/>
  </cols>
  <sheetData>
    <row r="1" ht="30" customHeight="1">
      <c r="A1" s="1" t="inlineStr">
        <is>
          <t>CFI · AOP 2026–27 · Budget line items with project mapping  (edit the Project column — every other tab recalculates)</t>
        </is>
      </c>
    </row>
    <row r="2" ht="24" customHeight="1">
      <c r="A2" s="2" t="inlineStr">
        <is>
          <t>Vertical</t>
        </is>
      </c>
      <c r="B2" s="2" t="inlineStr">
        <is>
          <t>Activity</t>
        </is>
      </c>
      <c r="C2" s="2" t="inlineStr">
        <is>
          <t>Budget (₹)</t>
        </is>
      </c>
      <c r="D2" s="2" t="inlineStr">
        <is>
          <t>In lacs</t>
        </is>
      </c>
      <c r="E2" s="2" t="inlineStr">
        <is>
          <t>Project</t>
        </is>
      </c>
      <c r="F2" s="2" t="inlineStr">
        <is>
          <t>Notes / assumptions</t>
        </is>
      </c>
    </row>
    <row r="3">
      <c r="A3" s="3" t="inlineStr">
        <is>
          <t>Trust Admin</t>
        </is>
      </c>
      <c r="B3" s="3" t="inlineStr">
        <is>
          <t>Branding &amp; Outreach</t>
        </is>
      </c>
      <c r="C3" s="4" t="n">
        <v>100000</v>
      </c>
      <c r="D3" s="5">
        <f>C3/100000</f>
        <v/>
      </c>
      <c r="E3" s="3" t="inlineStr">
        <is>
          <t>Org Backbone</t>
        </is>
      </c>
      <c r="F3" s="6" t="inlineStr"/>
    </row>
    <row r="4">
      <c r="A4" s="7" t="inlineStr">
        <is>
          <t>Trust Admin</t>
        </is>
      </c>
      <c r="B4" s="7" t="inlineStr">
        <is>
          <t>Capacity Building and Consultation</t>
        </is>
      </c>
      <c r="C4" s="8" t="n">
        <v>3600000</v>
      </c>
      <c r="D4" s="9">
        <f>C4/100000</f>
        <v/>
      </c>
      <c r="E4" s="7" t="inlineStr">
        <is>
          <t>Org Backbone</t>
        </is>
      </c>
      <c r="F4" s="10" t="inlineStr">
        <is>
          <t>Expert / leadership / consultation fees — shared across projects</t>
        </is>
      </c>
    </row>
    <row r="5">
      <c r="A5" s="3" t="inlineStr">
        <is>
          <t>Trust Admin</t>
        </is>
      </c>
      <c r="B5" s="3" t="inlineStr">
        <is>
          <t>Employee Benefits</t>
        </is>
      </c>
      <c r="C5" s="4" t="n">
        <v>100000</v>
      </c>
      <c r="D5" s="5">
        <f>C5/100000</f>
        <v/>
      </c>
      <c r="E5" s="3" t="inlineStr">
        <is>
          <t>Org Backbone</t>
        </is>
      </c>
      <c r="F5" s="6" t="inlineStr"/>
    </row>
    <row r="6">
      <c r="A6" s="7" t="inlineStr">
        <is>
          <t>Trust Admin</t>
        </is>
      </c>
      <c r="B6" s="7" t="inlineStr">
        <is>
          <t>Intervention audit (M&amp;E)</t>
        </is>
      </c>
      <c r="C6" s="8" t="n">
        <v>500000</v>
      </c>
      <c r="D6" s="9">
        <f>C6/100000</f>
        <v/>
      </c>
      <c r="E6" s="7" t="inlineStr">
        <is>
          <t>Org Backbone</t>
        </is>
      </c>
      <c r="F6" s="10" t="inlineStr">
        <is>
          <t>M&amp;E of interventions — could move to Rakshak</t>
        </is>
      </c>
    </row>
    <row r="7">
      <c r="A7" s="3" t="inlineStr">
        <is>
          <t>Trust Admin</t>
        </is>
      </c>
      <c r="B7" s="3" t="inlineStr">
        <is>
          <t>IT hardware cost</t>
        </is>
      </c>
      <c r="C7" s="4" t="n">
        <v>0</v>
      </c>
      <c r="D7" s="5">
        <f>C7/100000</f>
        <v/>
      </c>
      <c r="E7" s="3" t="inlineStr">
        <is>
          <t>Org Backbone</t>
        </is>
      </c>
      <c r="F7" s="6" t="inlineStr"/>
    </row>
    <row r="8">
      <c r="A8" s="7" t="inlineStr">
        <is>
          <t>Trust Admin</t>
        </is>
      </c>
      <c r="B8" s="7" t="inlineStr">
        <is>
          <t>Marketing material</t>
        </is>
      </c>
      <c r="C8" s="8" t="n">
        <v>100000</v>
      </c>
      <c r="D8" s="9">
        <f>C8/100000</f>
        <v/>
      </c>
      <c r="E8" s="7" t="inlineStr">
        <is>
          <t>Org Backbone</t>
        </is>
      </c>
      <c r="F8" s="10" t="inlineStr"/>
    </row>
    <row r="9">
      <c r="A9" s="3" t="inlineStr">
        <is>
          <t>Trust Admin</t>
        </is>
      </c>
      <c r="B9" s="3" t="inlineStr">
        <is>
          <t>Office space (Virtual)</t>
        </is>
      </c>
      <c r="C9" s="4" t="n">
        <v>100000</v>
      </c>
      <c r="D9" s="5">
        <f>C9/100000</f>
        <v/>
      </c>
      <c r="E9" s="3" t="inlineStr">
        <is>
          <t>Org Backbone</t>
        </is>
      </c>
      <c r="F9" s="6" t="inlineStr"/>
    </row>
    <row r="10">
      <c r="A10" s="7" t="inlineStr">
        <is>
          <t>Trust Admin</t>
        </is>
      </c>
      <c r="B10" s="7" t="inlineStr">
        <is>
          <t>Office utilities</t>
        </is>
      </c>
      <c r="C10" s="8" t="n">
        <v>0</v>
      </c>
      <c r="D10" s="9">
        <f>C10/100000</f>
        <v/>
      </c>
      <c r="E10" s="7" t="inlineStr">
        <is>
          <t>Org Backbone</t>
        </is>
      </c>
      <c r="F10" s="10" t="inlineStr"/>
    </row>
    <row r="11">
      <c r="A11" s="3" t="inlineStr">
        <is>
          <t>Trust Admin</t>
        </is>
      </c>
      <c r="B11" s="3" t="inlineStr">
        <is>
          <t>Reporting and Compliance</t>
        </is>
      </c>
      <c r="C11" s="4" t="n">
        <v>500000</v>
      </c>
      <c r="D11" s="5">
        <f>C11/100000</f>
        <v/>
      </c>
      <c r="E11" s="3" t="inlineStr">
        <is>
          <t>Org Backbone</t>
        </is>
      </c>
      <c r="F11" s="6" t="inlineStr"/>
    </row>
    <row r="12">
      <c r="A12" s="7" t="inlineStr">
        <is>
          <t>Trust Admin</t>
        </is>
      </c>
      <c r="B12" s="7" t="inlineStr">
        <is>
          <t>Salaries &amp; Benefits</t>
        </is>
      </c>
      <c r="C12" s="8" t="n">
        <v>3100000</v>
      </c>
      <c r="D12" s="9">
        <f>C12/100000</f>
        <v/>
      </c>
      <c r="E12" s="7" t="inlineStr">
        <is>
          <t>Org Backbone</t>
        </is>
      </c>
      <c r="F12" s="10" t="inlineStr">
        <is>
          <t>Core team — realistically splits across projects; parked in backbone</t>
        </is>
      </c>
    </row>
    <row r="13">
      <c r="A13" s="3" t="inlineStr">
        <is>
          <t>Trust Admin</t>
        </is>
      </c>
      <c r="B13" s="3" t="inlineStr">
        <is>
          <t>Travel &amp; Networking</t>
        </is>
      </c>
      <c r="C13" s="4" t="n">
        <v>500000</v>
      </c>
      <c r="D13" s="5">
        <f>C13/100000</f>
        <v/>
      </c>
      <c r="E13" s="3" t="inlineStr">
        <is>
          <t>Org Backbone</t>
        </is>
      </c>
      <c r="F13" s="6" t="inlineStr"/>
    </row>
    <row r="14">
      <c r="A14" s="7" t="inlineStr">
        <is>
          <t>Trust Admin</t>
        </is>
      </c>
      <c r="B14" s="7" t="inlineStr">
        <is>
          <t>Website Development &amp; Hosting</t>
        </is>
      </c>
      <c r="C14" s="8" t="n">
        <v>100000</v>
      </c>
      <c r="D14" s="9">
        <f>C14/100000</f>
        <v/>
      </c>
      <c r="E14" s="7" t="inlineStr">
        <is>
          <t>Org Backbone</t>
        </is>
      </c>
      <c r="F14" s="10" t="inlineStr"/>
    </row>
    <row r="15">
      <c r="A15" s="3" t="inlineStr">
        <is>
          <t>Technology</t>
        </is>
      </c>
      <c r="B15" s="3" t="inlineStr">
        <is>
          <t>Collaboration with Google (Maps)</t>
        </is>
      </c>
      <c r="C15" s="4" t="n">
        <v>300000</v>
      </c>
      <c r="D15" s="5">
        <f>C15/100000</f>
        <v/>
      </c>
      <c r="E15" s="11" t="inlineStr">
        <is>
          <t>Project Rakshak</t>
        </is>
      </c>
      <c r="F15" s="6" t="inlineStr">
        <is>
          <t>★ Defect repository / Maps — mapped to Rakshak; could be SATARK</t>
        </is>
      </c>
    </row>
    <row r="16">
      <c r="A16" s="7" t="inlineStr">
        <is>
          <t>Technology</t>
        </is>
      </c>
      <c r="B16" s="7" t="inlineStr">
        <is>
          <t>Community Action via Mobile App</t>
        </is>
      </c>
      <c r="C16" s="8" t="n">
        <v>1000000</v>
      </c>
      <c r="D16" s="9">
        <f>C16/100000</f>
        <v/>
      </c>
      <c r="E16" s="11" t="inlineStr">
        <is>
          <t>Civic &amp; GovTech (SATARK)</t>
        </is>
      </c>
      <c r="F16" s="10" t="inlineStr">
        <is>
          <t>★ Citizen-reporting app — mapped to SATARK/Civic Tech</t>
        </is>
      </c>
    </row>
    <row r="17">
      <c r="A17" s="3" t="inlineStr">
        <is>
          <t>Technology</t>
        </is>
      </c>
      <c r="B17" s="3" t="inlineStr">
        <is>
          <t>National Road Safety Hackathon + Good Samaritan awards</t>
        </is>
      </c>
      <c r="C17" s="4" t="n">
        <v>5000000</v>
      </c>
      <c r="D17" s="5">
        <f>C17/100000</f>
        <v/>
      </c>
      <c r="E17" s="11" t="inlineStr">
        <is>
          <t>Campaign &amp; Comms</t>
        </is>
      </c>
      <c r="F17" s="6" t="inlineStr">
        <is>
          <t>★ Large public event — mapped to Campaign; part GovTech</t>
        </is>
      </c>
    </row>
    <row r="18">
      <c r="A18" s="7" t="inlineStr">
        <is>
          <t>Technology</t>
        </is>
      </c>
      <c r="B18" s="7" t="inlineStr">
        <is>
          <t>Product development: Safekart / Hackathon incubation</t>
        </is>
      </c>
      <c r="C18" s="8" t="n">
        <v>800000</v>
      </c>
      <c r="D18" s="9">
        <f>C18/100000</f>
        <v/>
      </c>
      <c r="E18" s="11" t="inlineStr">
        <is>
          <t>Bets — New Products</t>
        </is>
      </c>
      <c r="F18" s="10" t="inlineStr">
        <is>
          <t>★ New-product incubation — mapped to Bets</t>
        </is>
      </c>
    </row>
    <row r="19">
      <c r="A19" s="3" t="inlineStr">
        <is>
          <t>Education</t>
        </is>
      </c>
      <c r="B19" s="3" t="inlineStr">
        <is>
          <t>Safety is the new swag (CARS24 campaign)</t>
        </is>
      </c>
      <c r="C19" s="4" t="n">
        <v>4000000</v>
      </c>
      <c r="D19" s="5">
        <f>C19/100000</f>
        <v/>
      </c>
      <c r="E19" s="11" t="inlineStr">
        <is>
          <t>Campaign &amp; Comms</t>
        </is>
      </c>
      <c r="F19" s="6" t="inlineStr"/>
    </row>
    <row r="20">
      <c r="A20" s="7" t="inlineStr">
        <is>
          <t>Enabler - Community Building</t>
        </is>
      </c>
      <c r="B20" s="7" t="inlineStr">
        <is>
          <t>Safer Mobility Impact Fellowship</t>
        </is>
      </c>
      <c r="C20" s="8" t="n">
        <v>3000000</v>
      </c>
      <c r="D20" s="9">
        <f>C20/100000</f>
        <v/>
      </c>
      <c r="E20" s="7" t="inlineStr">
        <is>
          <t>Org Backbone</t>
        </is>
      </c>
      <c r="F20" s="10" t="inlineStr">
        <is>
          <t>★ Talent pipeline feeding all projects — parked in backbone</t>
        </is>
      </c>
    </row>
    <row r="21">
      <c r="A21" s="3" t="inlineStr">
        <is>
          <t>Infrastructure</t>
        </is>
      </c>
      <c r="B21" s="3" t="inlineStr">
        <is>
          <t>Infrastructure Internship &amp; School Safety Zone</t>
        </is>
      </c>
      <c r="C21" s="4" t="n">
        <v>2800000</v>
      </c>
      <c r="D21" s="5">
        <f>C21/100000</f>
        <v/>
      </c>
      <c r="E21" s="11" t="inlineStr">
        <is>
          <t>Project Rakshak</t>
        </is>
      </c>
      <c r="F21" s="6" t="inlineStr">
        <is>
          <t>★ Includes School Safety Index — carve SSI out here when ready</t>
        </is>
      </c>
    </row>
    <row r="22">
      <c r="A22" s="7" t="inlineStr">
        <is>
          <t>Policy</t>
        </is>
      </c>
      <c r="B22" s="7" t="inlineStr">
        <is>
          <t>Strengthening Road Safety Regulations via RTI/PIL</t>
        </is>
      </c>
      <c r="C22" s="8" t="n">
        <v>2200000</v>
      </c>
      <c r="D22" s="9">
        <f>C22/100000</f>
        <v/>
      </c>
      <c r="E22" s="11" t="inlineStr">
        <is>
          <t>Policy &amp; Advocacy</t>
        </is>
      </c>
      <c r="F22" s="10" t="inlineStr">
        <is>
          <t>Part of this research also feeds compensation</t>
        </is>
      </c>
    </row>
    <row r="23">
      <c r="A23" s="3" t="inlineStr">
        <is>
          <t>Post-emergency care</t>
        </is>
      </c>
      <c r="B23" s="3" t="inlineStr">
        <is>
          <t>Study on Cashless Treatment &amp; Compensation (Delhi NCR)</t>
        </is>
      </c>
      <c r="C23" s="4" t="n">
        <v>1200000</v>
      </c>
      <c r="D23" s="5">
        <f>C23/100000</f>
        <v/>
      </c>
      <c r="E23" s="11" t="inlineStr">
        <is>
          <t>Hit &amp; Run Compensation</t>
        </is>
      </c>
      <c r="F23" s="6" t="inlineStr"/>
    </row>
    <row r="24">
      <c r="A24" s="7" t="inlineStr">
        <is>
          <t>Contingency (4%)</t>
        </is>
      </c>
      <c r="B24" s="7" t="inlineStr">
        <is>
          <t>Contingency cost</t>
        </is>
      </c>
      <c r="C24" s="8" t="n">
        <v>1000000</v>
      </c>
      <c r="D24" s="9">
        <f>C24/100000</f>
        <v/>
      </c>
      <c r="E24" s="11" t="inlineStr">
        <is>
          <t>Contingency</t>
        </is>
      </c>
      <c r="F24" s="10" t="inlineStr"/>
    </row>
    <row r="25">
      <c r="A25" s="12" t="inlineStr">
        <is>
          <t>Grand Total</t>
        </is>
      </c>
      <c r="B25" s="13" t="inlineStr"/>
      <c r="C25" s="14">
        <f>SUM(C3:C24)</f>
        <v/>
      </c>
      <c r="D25" s="15">
        <f>C25/100000</f>
        <v/>
      </c>
      <c r="E25" s="13" t="inlineStr"/>
      <c r="F25" s="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1" customWidth="1" min="4" max="4"/>
  </cols>
  <sheetData>
    <row r="1" ht="28" customHeight="1">
      <c r="A1" s="16" t="inlineStr">
        <is>
          <t>AOP 2026–27 · Budget by project</t>
        </is>
      </c>
    </row>
    <row r="2" ht="22" customHeight="1">
      <c r="A2" s="2" t="inlineStr">
        <is>
          <t>Project</t>
        </is>
      </c>
      <c r="B2" s="2" t="inlineStr">
        <is>
          <t>Budget (₹)</t>
        </is>
      </c>
      <c r="C2" s="2" t="inlineStr">
        <is>
          <t>In lacs</t>
        </is>
      </c>
      <c r="D2" s="2" t="inlineStr">
        <is>
          <t>% of total</t>
        </is>
      </c>
    </row>
    <row r="3">
      <c r="A3" s="17" t="inlineStr">
        <is>
          <t>Project Rakshak</t>
        </is>
      </c>
      <c r="B3" s="4">
        <f>SUMIF('Line Items'!$E$3:$E$24,A3,'Line Items'!$C$3:$C$24)</f>
        <v/>
      </c>
      <c r="C3" s="5">
        <f>B3/100000</f>
        <v/>
      </c>
      <c r="D3" s="18">
        <f>B3/$B$13</f>
        <v/>
      </c>
    </row>
    <row r="4">
      <c r="A4" s="19" t="inlineStr">
        <is>
          <t>Hit &amp; Run Compensation</t>
        </is>
      </c>
      <c r="B4" s="8">
        <f>SUMIF('Line Items'!$E$3:$E$24,A4,'Line Items'!$C$3:$C$24)</f>
        <v/>
      </c>
      <c r="C4" s="9">
        <f>B4/100000</f>
        <v/>
      </c>
      <c r="D4" s="20">
        <f>B4/$B$13</f>
        <v/>
      </c>
    </row>
    <row r="5">
      <c r="A5" s="17" t="inlineStr">
        <is>
          <t>Civic &amp; GovTech (SATARK)</t>
        </is>
      </c>
      <c r="B5" s="4">
        <f>SUMIF('Line Items'!$E$3:$E$24,A5,'Line Items'!$C$3:$C$24)</f>
        <v/>
      </c>
      <c r="C5" s="5">
        <f>B5/100000</f>
        <v/>
      </c>
      <c r="D5" s="18">
        <f>B5/$B$13</f>
        <v/>
      </c>
    </row>
    <row r="6">
      <c r="A6" s="19" t="inlineStr">
        <is>
          <t>Gig Rider Safety</t>
        </is>
      </c>
      <c r="B6" s="8">
        <f>SUMIF('Line Items'!$E$3:$E$24,A6,'Line Items'!$C$3:$C$24)</f>
        <v/>
      </c>
      <c r="C6" s="9">
        <f>B6/100000</f>
        <v/>
      </c>
      <c r="D6" s="20">
        <f>B6/$B$13</f>
        <v/>
      </c>
    </row>
    <row r="7">
      <c r="A7" s="17" t="inlineStr">
        <is>
          <t>School Safety Index</t>
        </is>
      </c>
      <c r="B7" s="4">
        <f>SUMIF('Line Items'!$E$3:$E$24,A7,'Line Items'!$C$3:$C$24)</f>
        <v/>
      </c>
      <c r="C7" s="5">
        <f>B7/100000</f>
        <v/>
      </c>
      <c r="D7" s="18">
        <f>B7/$B$13</f>
        <v/>
      </c>
    </row>
    <row r="8">
      <c r="A8" s="19" t="inlineStr">
        <is>
          <t>Campaign &amp; Comms</t>
        </is>
      </c>
      <c r="B8" s="8">
        <f>SUMIF('Line Items'!$E$3:$E$24,A8,'Line Items'!$C$3:$C$24)</f>
        <v/>
      </c>
      <c r="C8" s="9">
        <f>B8/100000</f>
        <v/>
      </c>
      <c r="D8" s="20">
        <f>B8/$B$13</f>
        <v/>
      </c>
    </row>
    <row r="9">
      <c r="A9" s="17" t="inlineStr">
        <is>
          <t>Policy &amp; Advocacy</t>
        </is>
      </c>
      <c r="B9" s="4">
        <f>SUMIF('Line Items'!$E$3:$E$24,A9,'Line Items'!$C$3:$C$24)</f>
        <v/>
      </c>
      <c r="C9" s="5">
        <f>B9/100000</f>
        <v/>
      </c>
      <c r="D9" s="18">
        <f>B9/$B$13</f>
        <v/>
      </c>
    </row>
    <row r="10">
      <c r="A10" s="19" t="inlineStr">
        <is>
          <t>Bets — New Products</t>
        </is>
      </c>
      <c r="B10" s="8">
        <f>SUMIF('Line Items'!$E$3:$E$24,A10,'Line Items'!$C$3:$C$24)</f>
        <v/>
      </c>
      <c r="C10" s="9">
        <f>B10/100000</f>
        <v/>
      </c>
      <c r="D10" s="20">
        <f>B10/$B$13</f>
        <v/>
      </c>
    </row>
    <row r="11">
      <c r="A11" s="17" t="inlineStr">
        <is>
          <t>Org Backbone</t>
        </is>
      </c>
      <c r="B11" s="4">
        <f>SUMIF('Line Items'!$E$3:$E$24,A11,'Line Items'!$C$3:$C$24)</f>
        <v/>
      </c>
      <c r="C11" s="5">
        <f>B11/100000</f>
        <v/>
      </c>
      <c r="D11" s="18">
        <f>B11/$B$13</f>
        <v/>
      </c>
    </row>
    <row r="12">
      <c r="A12" s="19" t="inlineStr">
        <is>
          <t>Contingency</t>
        </is>
      </c>
      <c r="B12" s="8">
        <f>SUMIF('Line Items'!$E$3:$E$24,A12,'Line Items'!$C$3:$C$24)</f>
        <v/>
      </c>
      <c r="C12" s="9">
        <f>B12/100000</f>
        <v/>
      </c>
      <c r="D12" s="20">
        <f>B12/$B$13</f>
        <v/>
      </c>
    </row>
    <row r="13">
      <c r="A13" s="12" t="inlineStr">
        <is>
          <t>Grand Total</t>
        </is>
      </c>
      <c r="B13" s="14">
        <f>SUM(B3:B12)</f>
        <v/>
      </c>
      <c r="C13" s="15">
        <f>B13/100000</f>
        <v/>
      </c>
      <c r="D13" s="21">
        <f>B13/$B$13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</cols>
  <sheetData>
    <row r="1" ht="26" customHeight="1">
      <c r="A1" s="1" t="inlineStr">
        <is>
          <t>AOP 2026–27 · Project × Vertical matrix  (verticals preserved; re-cut by project)</t>
        </is>
      </c>
    </row>
    <row r="2" ht="40" customHeight="1">
      <c r="A2" s="2" t="inlineStr">
        <is>
          <t>Project ↓  /  Vertical →</t>
        </is>
      </c>
      <c r="B2" s="22" t="inlineStr">
        <is>
          <t>Trust Admin</t>
        </is>
      </c>
      <c r="C2" s="22" t="inlineStr">
        <is>
          <t>Technology</t>
        </is>
      </c>
      <c r="D2" s="22" t="inlineStr">
        <is>
          <t>Education</t>
        </is>
      </c>
      <c r="E2" s="22" t="inlineStr">
        <is>
          <t>Enabler - Community Building</t>
        </is>
      </c>
      <c r="F2" s="22" t="inlineStr">
        <is>
          <t>Infrastructure</t>
        </is>
      </c>
      <c r="G2" s="22" t="inlineStr">
        <is>
          <t>Policy</t>
        </is>
      </c>
      <c r="H2" s="22" t="inlineStr">
        <is>
          <t>Post-emergency care</t>
        </is>
      </c>
      <c r="I2" s="22" t="inlineStr">
        <is>
          <t>Contingency (4%)</t>
        </is>
      </c>
      <c r="J2" s="2" t="inlineStr">
        <is>
          <t>Project total</t>
        </is>
      </c>
    </row>
    <row r="3">
      <c r="A3" s="11" t="inlineStr">
        <is>
          <t>Project Rakshak</t>
        </is>
      </c>
      <c r="B3" s="23">
        <f>SUMIFS('Line Items'!$C$3:$C$24,'Line Items'!$E$3:$E$24,$A3,'Line Items'!$A$3:$A$24,B$2)</f>
        <v/>
      </c>
      <c r="C3" s="23">
        <f>SUMIFS('Line Items'!$C$3:$C$24,'Line Items'!$E$3:$E$24,$A3,'Line Items'!$A$3:$A$24,C$2)</f>
        <v/>
      </c>
      <c r="D3" s="23">
        <f>SUMIFS('Line Items'!$C$3:$C$24,'Line Items'!$E$3:$E$24,$A3,'Line Items'!$A$3:$A$24,D$2)</f>
        <v/>
      </c>
      <c r="E3" s="23">
        <f>SUMIFS('Line Items'!$C$3:$C$24,'Line Items'!$E$3:$E$24,$A3,'Line Items'!$A$3:$A$24,E$2)</f>
        <v/>
      </c>
      <c r="F3" s="23">
        <f>SUMIFS('Line Items'!$C$3:$C$24,'Line Items'!$E$3:$E$24,$A3,'Line Items'!$A$3:$A$24,F$2)</f>
        <v/>
      </c>
      <c r="G3" s="23">
        <f>SUMIFS('Line Items'!$C$3:$C$24,'Line Items'!$E$3:$E$24,$A3,'Line Items'!$A$3:$A$24,G$2)</f>
        <v/>
      </c>
      <c r="H3" s="23">
        <f>SUMIFS('Line Items'!$C$3:$C$24,'Line Items'!$E$3:$E$24,$A3,'Line Items'!$A$3:$A$24,H$2)</f>
        <v/>
      </c>
      <c r="I3" s="23">
        <f>SUMIFS('Line Items'!$C$3:$C$24,'Line Items'!$E$3:$E$24,$A3,'Line Items'!$A$3:$A$24,I$2)</f>
        <v/>
      </c>
      <c r="J3" s="24">
        <f>SUM(B3:I3)</f>
        <v/>
      </c>
    </row>
    <row r="4">
      <c r="A4" s="11" t="inlineStr">
        <is>
          <t>Hit &amp; Run Compensation</t>
        </is>
      </c>
      <c r="B4" s="23">
        <f>SUMIFS('Line Items'!$C$3:$C$24,'Line Items'!$E$3:$E$24,$A4,'Line Items'!$A$3:$A$24,B$2)</f>
        <v/>
      </c>
      <c r="C4" s="23">
        <f>SUMIFS('Line Items'!$C$3:$C$24,'Line Items'!$E$3:$E$24,$A4,'Line Items'!$A$3:$A$24,C$2)</f>
        <v/>
      </c>
      <c r="D4" s="23">
        <f>SUMIFS('Line Items'!$C$3:$C$24,'Line Items'!$E$3:$E$24,$A4,'Line Items'!$A$3:$A$24,D$2)</f>
        <v/>
      </c>
      <c r="E4" s="23">
        <f>SUMIFS('Line Items'!$C$3:$C$24,'Line Items'!$E$3:$E$24,$A4,'Line Items'!$A$3:$A$24,E$2)</f>
        <v/>
      </c>
      <c r="F4" s="23">
        <f>SUMIFS('Line Items'!$C$3:$C$24,'Line Items'!$E$3:$E$24,$A4,'Line Items'!$A$3:$A$24,F$2)</f>
        <v/>
      </c>
      <c r="G4" s="23">
        <f>SUMIFS('Line Items'!$C$3:$C$24,'Line Items'!$E$3:$E$24,$A4,'Line Items'!$A$3:$A$24,G$2)</f>
        <v/>
      </c>
      <c r="H4" s="23">
        <f>SUMIFS('Line Items'!$C$3:$C$24,'Line Items'!$E$3:$E$24,$A4,'Line Items'!$A$3:$A$24,H$2)</f>
        <v/>
      </c>
      <c r="I4" s="23">
        <f>SUMIFS('Line Items'!$C$3:$C$24,'Line Items'!$E$3:$E$24,$A4,'Line Items'!$A$3:$A$24,I$2)</f>
        <v/>
      </c>
      <c r="J4" s="24">
        <f>SUM(B4:I4)</f>
        <v/>
      </c>
    </row>
    <row r="5">
      <c r="A5" s="11" t="inlineStr">
        <is>
          <t>Civic &amp; GovTech (SATARK)</t>
        </is>
      </c>
      <c r="B5" s="23">
        <f>SUMIFS('Line Items'!$C$3:$C$24,'Line Items'!$E$3:$E$24,$A5,'Line Items'!$A$3:$A$24,B$2)</f>
        <v/>
      </c>
      <c r="C5" s="23">
        <f>SUMIFS('Line Items'!$C$3:$C$24,'Line Items'!$E$3:$E$24,$A5,'Line Items'!$A$3:$A$24,C$2)</f>
        <v/>
      </c>
      <c r="D5" s="23">
        <f>SUMIFS('Line Items'!$C$3:$C$24,'Line Items'!$E$3:$E$24,$A5,'Line Items'!$A$3:$A$24,D$2)</f>
        <v/>
      </c>
      <c r="E5" s="23">
        <f>SUMIFS('Line Items'!$C$3:$C$24,'Line Items'!$E$3:$E$24,$A5,'Line Items'!$A$3:$A$24,E$2)</f>
        <v/>
      </c>
      <c r="F5" s="23">
        <f>SUMIFS('Line Items'!$C$3:$C$24,'Line Items'!$E$3:$E$24,$A5,'Line Items'!$A$3:$A$24,F$2)</f>
        <v/>
      </c>
      <c r="G5" s="23">
        <f>SUMIFS('Line Items'!$C$3:$C$24,'Line Items'!$E$3:$E$24,$A5,'Line Items'!$A$3:$A$24,G$2)</f>
        <v/>
      </c>
      <c r="H5" s="23">
        <f>SUMIFS('Line Items'!$C$3:$C$24,'Line Items'!$E$3:$E$24,$A5,'Line Items'!$A$3:$A$24,H$2)</f>
        <v/>
      </c>
      <c r="I5" s="23">
        <f>SUMIFS('Line Items'!$C$3:$C$24,'Line Items'!$E$3:$E$24,$A5,'Line Items'!$A$3:$A$24,I$2)</f>
        <v/>
      </c>
      <c r="J5" s="24">
        <f>SUM(B5:I5)</f>
        <v/>
      </c>
    </row>
    <row r="6">
      <c r="A6" s="11" t="inlineStr">
        <is>
          <t>Gig Rider Safety</t>
        </is>
      </c>
      <c r="B6" s="23">
        <f>SUMIFS('Line Items'!$C$3:$C$24,'Line Items'!$E$3:$E$24,$A6,'Line Items'!$A$3:$A$24,B$2)</f>
        <v/>
      </c>
      <c r="C6" s="23">
        <f>SUMIFS('Line Items'!$C$3:$C$24,'Line Items'!$E$3:$E$24,$A6,'Line Items'!$A$3:$A$24,C$2)</f>
        <v/>
      </c>
      <c r="D6" s="23">
        <f>SUMIFS('Line Items'!$C$3:$C$24,'Line Items'!$E$3:$E$24,$A6,'Line Items'!$A$3:$A$24,D$2)</f>
        <v/>
      </c>
      <c r="E6" s="23">
        <f>SUMIFS('Line Items'!$C$3:$C$24,'Line Items'!$E$3:$E$24,$A6,'Line Items'!$A$3:$A$24,E$2)</f>
        <v/>
      </c>
      <c r="F6" s="23">
        <f>SUMIFS('Line Items'!$C$3:$C$24,'Line Items'!$E$3:$E$24,$A6,'Line Items'!$A$3:$A$24,F$2)</f>
        <v/>
      </c>
      <c r="G6" s="23">
        <f>SUMIFS('Line Items'!$C$3:$C$24,'Line Items'!$E$3:$E$24,$A6,'Line Items'!$A$3:$A$24,G$2)</f>
        <v/>
      </c>
      <c r="H6" s="23">
        <f>SUMIFS('Line Items'!$C$3:$C$24,'Line Items'!$E$3:$E$24,$A6,'Line Items'!$A$3:$A$24,H$2)</f>
        <v/>
      </c>
      <c r="I6" s="23">
        <f>SUMIFS('Line Items'!$C$3:$C$24,'Line Items'!$E$3:$E$24,$A6,'Line Items'!$A$3:$A$24,I$2)</f>
        <v/>
      </c>
      <c r="J6" s="24">
        <f>SUM(B6:I6)</f>
        <v/>
      </c>
    </row>
    <row r="7">
      <c r="A7" s="11" t="inlineStr">
        <is>
          <t>School Safety Index</t>
        </is>
      </c>
      <c r="B7" s="23">
        <f>SUMIFS('Line Items'!$C$3:$C$24,'Line Items'!$E$3:$E$24,$A7,'Line Items'!$A$3:$A$24,B$2)</f>
        <v/>
      </c>
      <c r="C7" s="23">
        <f>SUMIFS('Line Items'!$C$3:$C$24,'Line Items'!$E$3:$E$24,$A7,'Line Items'!$A$3:$A$24,C$2)</f>
        <v/>
      </c>
      <c r="D7" s="23">
        <f>SUMIFS('Line Items'!$C$3:$C$24,'Line Items'!$E$3:$E$24,$A7,'Line Items'!$A$3:$A$24,D$2)</f>
        <v/>
      </c>
      <c r="E7" s="23">
        <f>SUMIFS('Line Items'!$C$3:$C$24,'Line Items'!$E$3:$E$24,$A7,'Line Items'!$A$3:$A$24,E$2)</f>
        <v/>
      </c>
      <c r="F7" s="23">
        <f>SUMIFS('Line Items'!$C$3:$C$24,'Line Items'!$E$3:$E$24,$A7,'Line Items'!$A$3:$A$24,F$2)</f>
        <v/>
      </c>
      <c r="G7" s="23">
        <f>SUMIFS('Line Items'!$C$3:$C$24,'Line Items'!$E$3:$E$24,$A7,'Line Items'!$A$3:$A$24,G$2)</f>
        <v/>
      </c>
      <c r="H7" s="23">
        <f>SUMIFS('Line Items'!$C$3:$C$24,'Line Items'!$E$3:$E$24,$A7,'Line Items'!$A$3:$A$24,H$2)</f>
        <v/>
      </c>
      <c r="I7" s="23">
        <f>SUMIFS('Line Items'!$C$3:$C$24,'Line Items'!$E$3:$E$24,$A7,'Line Items'!$A$3:$A$24,I$2)</f>
        <v/>
      </c>
      <c r="J7" s="24">
        <f>SUM(B7:I7)</f>
        <v/>
      </c>
    </row>
    <row r="8">
      <c r="A8" s="11" t="inlineStr">
        <is>
          <t>Campaign &amp; Comms</t>
        </is>
      </c>
      <c r="B8" s="23">
        <f>SUMIFS('Line Items'!$C$3:$C$24,'Line Items'!$E$3:$E$24,$A8,'Line Items'!$A$3:$A$24,B$2)</f>
        <v/>
      </c>
      <c r="C8" s="23">
        <f>SUMIFS('Line Items'!$C$3:$C$24,'Line Items'!$E$3:$E$24,$A8,'Line Items'!$A$3:$A$24,C$2)</f>
        <v/>
      </c>
      <c r="D8" s="23">
        <f>SUMIFS('Line Items'!$C$3:$C$24,'Line Items'!$E$3:$E$24,$A8,'Line Items'!$A$3:$A$24,D$2)</f>
        <v/>
      </c>
      <c r="E8" s="23">
        <f>SUMIFS('Line Items'!$C$3:$C$24,'Line Items'!$E$3:$E$24,$A8,'Line Items'!$A$3:$A$24,E$2)</f>
        <v/>
      </c>
      <c r="F8" s="23">
        <f>SUMIFS('Line Items'!$C$3:$C$24,'Line Items'!$E$3:$E$24,$A8,'Line Items'!$A$3:$A$24,F$2)</f>
        <v/>
      </c>
      <c r="G8" s="23">
        <f>SUMIFS('Line Items'!$C$3:$C$24,'Line Items'!$E$3:$E$24,$A8,'Line Items'!$A$3:$A$24,G$2)</f>
        <v/>
      </c>
      <c r="H8" s="23">
        <f>SUMIFS('Line Items'!$C$3:$C$24,'Line Items'!$E$3:$E$24,$A8,'Line Items'!$A$3:$A$24,H$2)</f>
        <v/>
      </c>
      <c r="I8" s="23">
        <f>SUMIFS('Line Items'!$C$3:$C$24,'Line Items'!$E$3:$E$24,$A8,'Line Items'!$A$3:$A$24,I$2)</f>
        <v/>
      </c>
      <c r="J8" s="24">
        <f>SUM(B8:I8)</f>
        <v/>
      </c>
    </row>
    <row r="9">
      <c r="A9" s="11" t="inlineStr">
        <is>
          <t>Policy &amp; Advocacy</t>
        </is>
      </c>
      <c r="B9" s="23">
        <f>SUMIFS('Line Items'!$C$3:$C$24,'Line Items'!$E$3:$E$24,$A9,'Line Items'!$A$3:$A$24,B$2)</f>
        <v/>
      </c>
      <c r="C9" s="23">
        <f>SUMIFS('Line Items'!$C$3:$C$24,'Line Items'!$E$3:$E$24,$A9,'Line Items'!$A$3:$A$24,C$2)</f>
        <v/>
      </c>
      <c r="D9" s="23">
        <f>SUMIFS('Line Items'!$C$3:$C$24,'Line Items'!$E$3:$E$24,$A9,'Line Items'!$A$3:$A$24,D$2)</f>
        <v/>
      </c>
      <c r="E9" s="23">
        <f>SUMIFS('Line Items'!$C$3:$C$24,'Line Items'!$E$3:$E$24,$A9,'Line Items'!$A$3:$A$24,E$2)</f>
        <v/>
      </c>
      <c r="F9" s="23">
        <f>SUMIFS('Line Items'!$C$3:$C$24,'Line Items'!$E$3:$E$24,$A9,'Line Items'!$A$3:$A$24,F$2)</f>
        <v/>
      </c>
      <c r="G9" s="23">
        <f>SUMIFS('Line Items'!$C$3:$C$24,'Line Items'!$E$3:$E$24,$A9,'Line Items'!$A$3:$A$24,G$2)</f>
        <v/>
      </c>
      <c r="H9" s="23">
        <f>SUMIFS('Line Items'!$C$3:$C$24,'Line Items'!$E$3:$E$24,$A9,'Line Items'!$A$3:$A$24,H$2)</f>
        <v/>
      </c>
      <c r="I9" s="23">
        <f>SUMIFS('Line Items'!$C$3:$C$24,'Line Items'!$E$3:$E$24,$A9,'Line Items'!$A$3:$A$24,I$2)</f>
        <v/>
      </c>
      <c r="J9" s="24">
        <f>SUM(B9:I9)</f>
        <v/>
      </c>
    </row>
    <row r="10">
      <c r="A10" s="11" t="inlineStr">
        <is>
          <t>Bets — New Products</t>
        </is>
      </c>
      <c r="B10" s="23">
        <f>SUMIFS('Line Items'!$C$3:$C$24,'Line Items'!$E$3:$E$24,$A10,'Line Items'!$A$3:$A$24,B$2)</f>
        <v/>
      </c>
      <c r="C10" s="23">
        <f>SUMIFS('Line Items'!$C$3:$C$24,'Line Items'!$E$3:$E$24,$A10,'Line Items'!$A$3:$A$24,C$2)</f>
        <v/>
      </c>
      <c r="D10" s="23">
        <f>SUMIFS('Line Items'!$C$3:$C$24,'Line Items'!$E$3:$E$24,$A10,'Line Items'!$A$3:$A$24,D$2)</f>
        <v/>
      </c>
      <c r="E10" s="23">
        <f>SUMIFS('Line Items'!$C$3:$C$24,'Line Items'!$E$3:$E$24,$A10,'Line Items'!$A$3:$A$24,E$2)</f>
        <v/>
      </c>
      <c r="F10" s="23">
        <f>SUMIFS('Line Items'!$C$3:$C$24,'Line Items'!$E$3:$E$24,$A10,'Line Items'!$A$3:$A$24,F$2)</f>
        <v/>
      </c>
      <c r="G10" s="23">
        <f>SUMIFS('Line Items'!$C$3:$C$24,'Line Items'!$E$3:$E$24,$A10,'Line Items'!$A$3:$A$24,G$2)</f>
        <v/>
      </c>
      <c r="H10" s="23">
        <f>SUMIFS('Line Items'!$C$3:$C$24,'Line Items'!$E$3:$E$24,$A10,'Line Items'!$A$3:$A$24,H$2)</f>
        <v/>
      </c>
      <c r="I10" s="23">
        <f>SUMIFS('Line Items'!$C$3:$C$24,'Line Items'!$E$3:$E$24,$A10,'Line Items'!$A$3:$A$24,I$2)</f>
        <v/>
      </c>
      <c r="J10" s="24">
        <f>SUM(B10:I10)</f>
        <v/>
      </c>
    </row>
    <row r="11">
      <c r="A11" s="11" t="inlineStr">
        <is>
          <t>Org Backbone</t>
        </is>
      </c>
      <c r="B11" s="23">
        <f>SUMIFS('Line Items'!$C$3:$C$24,'Line Items'!$E$3:$E$24,$A11,'Line Items'!$A$3:$A$24,B$2)</f>
        <v/>
      </c>
      <c r="C11" s="23">
        <f>SUMIFS('Line Items'!$C$3:$C$24,'Line Items'!$E$3:$E$24,$A11,'Line Items'!$A$3:$A$24,C$2)</f>
        <v/>
      </c>
      <c r="D11" s="23">
        <f>SUMIFS('Line Items'!$C$3:$C$24,'Line Items'!$E$3:$E$24,$A11,'Line Items'!$A$3:$A$24,D$2)</f>
        <v/>
      </c>
      <c r="E11" s="23">
        <f>SUMIFS('Line Items'!$C$3:$C$24,'Line Items'!$E$3:$E$24,$A11,'Line Items'!$A$3:$A$24,E$2)</f>
        <v/>
      </c>
      <c r="F11" s="23">
        <f>SUMIFS('Line Items'!$C$3:$C$24,'Line Items'!$E$3:$E$24,$A11,'Line Items'!$A$3:$A$24,F$2)</f>
        <v/>
      </c>
      <c r="G11" s="23">
        <f>SUMIFS('Line Items'!$C$3:$C$24,'Line Items'!$E$3:$E$24,$A11,'Line Items'!$A$3:$A$24,G$2)</f>
        <v/>
      </c>
      <c r="H11" s="23">
        <f>SUMIFS('Line Items'!$C$3:$C$24,'Line Items'!$E$3:$E$24,$A11,'Line Items'!$A$3:$A$24,H$2)</f>
        <v/>
      </c>
      <c r="I11" s="23">
        <f>SUMIFS('Line Items'!$C$3:$C$24,'Line Items'!$E$3:$E$24,$A11,'Line Items'!$A$3:$A$24,I$2)</f>
        <v/>
      </c>
      <c r="J11" s="24">
        <f>SUM(B11:I11)</f>
        <v/>
      </c>
    </row>
    <row r="12">
      <c r="A12" s="11" t="inlineStr">
        <is>
          <t>Contingency</t>
        </is>
      </c>
      <c r="B12" s="23">
        <f>SUMIFS('Line Items'!$C$3:$C$24,'Line Items'!$E$3:$E$24,$A12,'Line Items'!$A$3:$A$24,B$2)</f>
        <v/>
      </c>
      <c r="C12" s="23">
        <f>SUMIFS('Line Items'!$C$3:$C$24,'Line Items'!$E$3:$E$24,$A12,'Line Items'!$A$3:$A$24,C$2)</f>
        <v/>
      </c>
      <c r="D12" s="23">
        <f>SUMIFS('Line Items'!$C$3:$C$24,'Line Items'!$E$3:$E$24,$A12,'Line Items'!$A$3:$A$24,D$2)</f>
        <v/>
      </c>
      <c r="E12" s="23">
        <f>SUMIFS('Line Items'!$C$3:$C$24,'Line Items'!$E$3:$E$24,$A12,'Line Items'!$A$3:$A$24,E$2)</f>
        <v/>
      </c>
      <c r="F12" s="23">
        <f>SUMIFS('Line Items'!$C$3:$C$24,'Line Items'!$E$3:$E$24,$A12,'Line Items'!$A$3:$A$24,F$2)</f>
        <v/>
      </c>
      <c r="G12" s="23">
        <f>SUMIFS('Line Items'!$C$3:$C$24,'Line Items'!$E$3:$E$24,$A12,'Line Items'!$A$3:$A$24,G$2)</f>
        <v/>
      </c>
      <c r="H12" s="23">
        <f>SUMIFS('Line Items'!$C$3:$C$24,'Line Items'!$E$3:$E$24,$A12,'Line Items'!$A$3:$A$24,H$2)</f>
        <v/>
      </c>
      <c r="I12" s="23">
        <f>SUMIFS('Line Items'!$C$3:$C$24,'Line Items'!$E$3:$E$24,$A12,'Line Items'!$A$3:$A$24,I$2)</f>
        <v/>
      </c>
      <c r="J12" s="24">
        <f>SUM(B12:I12)</f>
        <v/>
      </c>
    </row>
    <row r="13">
      <c r="A13" s="12" t="inlineStr">
        <is>
          <t>Vertical total</t>
        </is>
      </c>
      <c r="B13" s="25">
        <f>SUM(B3:B12)</f>
        <v/>
      </c>
      <c r="C13" s="25">
        <f>SUM(C3:C12)</f>
        <v/>
      </c>
      <c r="D13" s="25">
        <f>SUM(D3:D12)</f>
        <v/>
      </c>
      <c r="E13" s="25">
        <f>SUM(E3:E12)</f>
        <v/>
      </c>
      <c r="F13" s="25">
        <f>SUM(F3:F12)</f>
        <v/>
      </c>
      <c r="G13" s="25">
        <f>SUM(G3:G12)</f>
        <v/>
      </c>
      <c r="H13" s="25">
        <f>SUM(H3:H12)</f>
        <v/>
      </c>
      <c r="I13" s="25">
        <f>SUM(I3:I12)</f>
        <v/>
      </c>
      <c r="J13" s="14">
        <f>SUM(J3:J12)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</cols>
  <sheetData>
    <row r="1" ht="26" customHeight="1">
      <c r="A1" s="1" t="inlineStr">
        <is>
          <t>Tie-out · original vertical totals (must still equal ₹3.0 Cr)</t>
        </is>
      </c>
    </row>
    <row r="2">
      <c r="A2" s="2" t="inlineStr">
        <is>
          <t>Vertical</t>
        </is>
      </c>
      <c r="B2" s="2" t="inlineStr">
        <is>
          <t>Budget (₹)</t>
        </is>
      </c>
      <c r="C2" s="2" t="inlineStr">
        <is>
          <t>In lacs</t>
        </is>
      </c>
    </row>
    <row r="3">
      <c r="A3" s="17" t="inlineStr">
        <is>
          <t>Trust Admin</t>
        </is>
      </c>
      <c r="B3" s="4">
        <f>SUMIF('Line Items'!$A$3:$A$24,A3,'Line Items'!$C$3:$C$24)</f>
        <v/>
      </c>
      <c r="C3" s="5">
        <f>B3/100000</f>
        <v/>
      </c>
    </row>
    <row r="4">
      <c r="A4" s="19" t="inlineStr">
        <is>
          <t>Technology</t>
        </is>
      </c>
      <c r="B4" s="8">
        <f>SUMIF('Line Items'!$A$3:$A$24,A4,'Line Items'!$C$3:$C$24)</f>
        <v/>
      </c>
      <c r="C4" s="9">
        <f>B4/100000</f>
        <v/>
      </c>
    </row>
    <row r="5">
      <c r="A5" s="17" t="inlineStr">
        <is>
          <t>Education</t>
        </is>
      </c>
      <c r="B5" s="4">
        <f>SUMIF('Line Items'!$A$3:$A$24,A5,'Line Items'!$C$3:$C$24)</f>
        <v/>
      </c>
      <c r="C5" s="5">
        <f>B5/100000</f>
        <v/>
      </c>
    </row>
    <row r="6">
      <c r="A6" s="19" t="inlineStr">
        <is>
          <t>Enabler - Community Building</t>
        </is>
      </c>
      <c r="B6" s="8">
        <f>SUMIF('Line Items'!$A$3:$A$24,A6,'Line Items'!$C$3:$C$24)</f>
        <v/>
      </c>
      <c r="C6" s="9">
        <f>B6/100000</f>
        <v/>
      </c>
    </row>
    <row r="7">
      <c r="A7" s="17" t="inlineStr">
        <is>
          <t>Infrastructure</t>
        </is>
      </c>
      <c r="B7" s="4">
        <f>SUMIF('Line Items'!$A$3:$A$24,A7,'Line Items'!$C$3:$C$24)</f>
        <v/>
      </c>
      <c r="C7" s="5">
        <f>B7/100000</f>
        <v/>
      </c>
    </row>
    <row r="8">
      <c r="A8" s="19" t="inlineStr">
        <is>
          <t>Policy</t>
        </is>
      </c>
      <c r="B8" s="8">
        <f>SUMIF('Line Items'!$A$3:$A$24,A8,'Line Items'!$C$3:$C$24)</f>
        <v/>
      </c>
      <c r="C8" s="9">
        <f>B8/100000</f>
        <v/>
      </c>
    </row>
    <row r="9">
      <c r="A9" s="17" t="inlineStr">
        <is>
          <t>Post-emergency care</t>
        </is>
      </c>
      <c r="B9" s="4">
        <f>SUMIF('Line Items'!$A$3:$A$24,A9,'Line Items'!$C$3:$C$24)</f>
        <v/>
      </c>
      <c r="C9" s="5">
        <f>B9/100000</f>
        <v/>
      </c>
    </row>
    <row r="10">
      <c r="A10" s="19" t="inlineStr">
        <is>
          <t>Contingency (4%)</t>
        </is>
      </c>
      <c r="B10" s="8">
        <f>SUMIF('Line Items'!$A$3:$A$24,A10,'Line Items'!$C$3:$C$24)</f>
        <v/>
      </c>
      <c r="C10" s="9">
        <f>B10/100000</f>
        <v/>
      </c>
    </row>
    <row r="11">
      <c r="A11" s="12" t="inlineStr">
        <is>
          <t>Grand Total</t>
        </is>
      </c>
      <c r="B11" s="14">
        <f>SUM(B3:B10)</f>
        <v/>
      </c>
      <c r="C11" s="15">
        <f>B11/100000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6" t="inlineStr">
        <is>
          <t>CFI · AOP 2026–27 — project bifurcation (first pass)</t>
        </is>
      </c>
    </row>
    <row r="2">
      <c r="A2" s="27" t="inlineStr"/>
    </row>
    <row r="3">
      <c r="A3" s="28" t="inlineStr">
        <is>
          <t>Source: 'CFI - AOP (2026-2027)' Google Sheet, quarterly-phased tab. Total ₹3,00,00,000 (₹3.0 Cr / 300 lacs).</t>
        </is>
      </c>
    </row>
    <row r="4">
      <c r="A4" s="28" t="inlineStr">
        <is>
          <t>The 8 verticals are kept exactly as in the sheet. The Project column on 'Line Items' is the only thing you edit —</t>
        </is>
      </c>
    </row>
    <row r="5">
      <c r="A5" s="28" t="inlineStr">
        <is>
          <t>every other tab recalculates from it. Reassign a row's project and the pivots + matrix update automatically.</t>
        </is>
      </c>
    </row>
    <row r="6">
      <c r="A6" s="27" t="inlineStr"/>
    </row>
    <row r="7">
      <c r="A7" s="29" t="inlineStr">
        <is>
          <t>Judgement calls to confirm (marked ★ in the Notes column):</t>
        </is>
      </c>
    </row>
    <row r="8">
      <c r="A8" s="28" t="inlineStr">
        <is>
          <t>• Collaboration with Google (Maps), ₹3 L → Project Rakshak (defect repository / Maps). Could sit under SATARK.</t>
        </is>
      </c>
    </row>
    <row r="9">
      <c r="A9" s="28" t="inlineStr">
        <is>
          <t>• Community Action via Mobile App, ₹10 L → SATARK / Civic Tech. Could be a Campaign asset.</t>
        </is>
      </c>
    </row>
    <row r="10">
      <c r="A10" s="28" t="inlineStr">
        <is>
          <t>• National Hackathon + Good Samaritan awards, ₹50 L → Campaign &amp; Comms. Part of it is GovTech talent-sourcing.</t>
        </is>
      </c>
    </row>
    <row r="11">
      <c r="A11" s="28" t="inlineStr">
        <is>
          <t>• Safekart / incubation, ₹8 L → Bets (new products).</t>
        </is>
      </c>
    </row>
    <row r="12">
      <c r="A12" s="28" t="inlineStr">
        <is>
          <t>• Safer Mobility Impact Fellowship, ₹30 L → Org Backbone (talent feeding all projects). Could be split across projects.</t>
        </is>
      </c>
    </row>
    <row r="13">
      <c r="A13" s="28" t="inlineStr">
        <is>
          <t>• Salaries &amp; Benefits ₹31 L and Capacity Building ₹36 L are shared core costs, parked in Org Backbone for now.</t>
        </is>
      </c>
    </row>
    <row r="14">
      <c r="A14" s="28" t="inlineStr">
        <is>
          <t>• Infrastructure Internship ₹28 L currently bundles the School Safety Zone — School Safety Index has no separate line yet.</t>
        </is>
      </c>
    </row>
    <row r="15">
      <c r="A15" s="27" t="inlineStr"/>
    </row>
    <row r="16">
      <c r="A16" s="29" t="inlineStr">
        <is>
          <t>Two gaps worth a decision:</t>
        </is>
      </c>
    </row>
    <row r="17">
      <c r="A17" s="28" t="inlineStr">
        <is>
          <t>• Gig Rider Safety shows ₹0 — the current ₹3.0 Cr budget has no dedicated gig line (an earlier ₹6 Cr draft did:</t>
        </is>
      </c>
    </row>
    <row r="18">
      <c r="A18" s="28" t="inlineStr">
        <is>
          <t xml:space="preserve">   study ₹8 L + intervention design ₹4 L + dissemination ₹8 L). Tell me the number and I'll carve it in.</t>
        </is>
      </c>
    </row>
    <row r="19">
      <c r="A19" s="28" t="inlineStr">
        <is>
          <t>• School Safety Index similarly has no standalone line — say what to carve from Infrastructure Internship.</t>
        </is>
      </c>
    </row>
    <row r="20">
      <c r="A20" s="27" t="inlineStr"/>
    </row>
    <row r="21">
      <c r="A21" s="28" t="inlineStr">
        <is>
          <t>Next options: split shared core costs (salaries, capacity building, fellowship) across projects on a % basis, and/or</t>
        </is>
      </c>
    </row>
    <row r="22">
      <c r="A22" s="28" t="inlineStr">
        <is>
          <t>add the GL cost-category view (Professional fees, Salary &amp; Incentives, Audit &amp; Compliance, Tech Infra, Marketing, Rent).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2026-08-19T08:09:33Z</dcterms:created>
  <dcterms:modified xmlns:dcterms="http://purl.org/dc/terms/" xmlns:xsi="http://www.w3.org/2001/XMLSchema-instance" xsi:type="dcterms:W3CDTF">2026-08-19T08:09:33Z</dcterms:modified>
</cp:coreProperties>
</file>